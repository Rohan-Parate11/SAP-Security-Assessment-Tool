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ily Task Tracker" sheetId="2" state="visible" r:id="rId4"/>
    <sheet name="Prerequisite Checklist" sheetId="3" state="visible" r:id="rId5"/>
    <sheet name="SME Questionnaire" sheetId="4" state="visible" r:id="rId6"/>
    <sheet name="Summary Dashboard" sheetId="5" state="visible" r:id="rId7"/>
  </sheets>
  <definedNames>
    <definedName function="false" hidden="true" localSheetId="1" name="_xlnm._FilterDatabase" vbProcedure="false">'Daily Task Tracker'!$A$1:$L$112</definedName>
    <definedName function="false" hidden="true" localSheetId="2" name="_xlnm._FilterDatabase" vbProcedure="false">'Prerequisite Checklist'!$A$1:$I$29</definedName>
    <definedName function="false" hidden="true" localSheetId="3" name="_xlnm._FilterDatabase" vbProcedure="false">'SME Questionnaire'!$A$1:$H$34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<sst xmlns="http://schemas.openxmlformats.org/spreadsheetml/2006/main" count="1293" uniqueCount="553">
  <si>
    <t xml:space="preserve">Security Framework Assessment &amp; Transformation Readiness</t>
  </si>
  <si>
    <t xml:space="preserve">Project Tracker Pack — Daily Task Tracker | Prerequisite Checklist | SAP Security SME Questionnaire | Summary Dashboard</t>
  </si>
  <si>
    <t xml:space="preserve">How to use this workbook</t>
  </si>
  <si>
    <t xml:space="preserve">1. 'Daily Task Tracker' lays out the build plan day-by-day from kickoff to production handover.</t>
  </si>
  <si>
    <t xml:space="preserve">2. 'Prerequisite Checklist' lists everything to secure (access, approvals, infra) before collectors run on any system.</t>
  </si>
  <si>
    <t xml:space="preserve">3. 'SME Questionnaire' is what to walk through with the SAP Security SME(s) — internal and, later, per customer.</t>
  </si>
  <si>
    <t xml:space="preserve">4. 'Summary Dashboard' auto-rolls up workload and completion status from the other sheets — nothing to fill in there.</t>
  </si>
  <si>
    <t xml:space="preserve">5. Update the Project Start Date below — the Date column on the Daily Task Tracker recalculates automatically (skips weekends).</t>
  </si>
  <si>
    <t xml:space="preserve">6. Status, Priority, and Owner cells use dropdowns (data validation) — click the cell and choose from the list.</t>
  </si>
  <si>
    <t xml:space="preserve">Project Start Date (input)</t>
  </si>
  <si>
    <t xml:space="preserve">Team &amp; Assumed Roles</t>
  </si>
  <si>
    <t xml:space="preserve">Note: you confirmed Rohan and Shweta. The plan below assumes a 3rd (SAP Security SME) and 4th (Business/Consulting Lead) seat based on the roles in your reference document — rename these in the Owner columns once confirmed; the structure of the plan does not otherwise change.</t>
  </si>
  <si>
    <t xml:space="preserve">Owner Label Used In Sheets</t>
  </si>
  <si>
    <t xml:space="preserve">Assumed Role</t>
  </si>
  <si>
    <t xml:space="preserve">Primary Responsibility in This Plan</t>
  </si>
  <si>
    <t xml:space="preserve">Rohan</t>
  </si>
  <si>
    <t xml:space="preserve">Project Lead / Developer</t>
  </si>
  <si>
    <t xml:space="preserve">Architecture, scoring engine, baseline library, ECS/RISE boundary logic, SME coordination</t>
  </si>
  <si>
    <t xml:space="preserve">Shweta</t>
  </si>
  <si>
    <t xml:space="preserve">Developer</t>
  </si>
  <si>
    <t xml:space="preserve">Collector scripts, AI/report generation layer, testing, environment setup</t>
  </si>
  <si>
    <t xml:space="preserve">SAP Security SME</t>
  </si>
  <si>
    <t xml:space="preserve">SAP Security Subject Matter Expert</t>
  </si>
  <si>
    <t xml:space="preserve">Baseline validation, technical accuracy review, mandatory sign-off before customer delivery</t>
  </si>
  <si>
    <t xml:space="preserve">Business/Consulting Lead</t>
  </si>
  <si>
    <t xml:space="preserve">Sales / Consulting Lead</t>
  </si>
  <si>
    <t xml:space="preserve">Customer coordination, access requests, commercial packaging, pilot logistics</t>
  </si>
  <si>
    <t xml:space="preserve">Timeline assumption</t>
  </si>
  <si>
    <t xml:space="preserve">~9 working weeks (43 working days) from kickoff to production handover, with a 2-person build team, 1 SME, and 1 business/consulting lead running in parallel. Adjust pace in the Daily Task Tracker if your team's availability differs (e.g. part-time SME).</t>
  </si>
  <si>
    <t xml:space="preserve">Day</t>
  </si>
  <si>
    <t xml:space="preserve">Date</t>
  </si>
  <si>
    <t xml:space="preserve">Week</t>
  </si>
  <si>
    <t xml:space="preserve">Phase</t>
  </si>
  <si>
    <t xml:space="preserve">Task</t>
  </si>
  <si>
    <t xml:space="preserve">Subtask</t>
  </si>
  <si>
    <t xml:space="preserve">Owner</t>
  </si>
  <si>
    <t xml:space="preserve">Est. Hours</t>
  </si>
  <si>
    <t xml:space="preserve">Status</t>
  </si>
  <si>
    <t xml:space="preserve">Dependencies</t>
  </si>
  <si>
    <t xml:space="preserve">Deliverable</t>
  </si>
  <si>
    <t xml:space="preserve">Comments</t>
  </si>
  <si>
    <t xml:space="preserve">Phase 0 - Discovery &amp; SME Alignment</t>
  </si>
  <si>
    <t xml:space="preserve">Project Kickoff &amp; Scope Alignment</t>
  </si>
  <si>
    <t xml:space="preserve">Kickoff meeting - align scope, success criteria, timeline, RACI</t>
  </si>
  <si>
    <t xml:space="preserve">Not Started</t>
  </si>
  <si>
    <t xml:space="preserve">None</t>
  </si>
  <si>
    <t xml:space="preserve">Signed-off scope note</t>
  </si>
  <si>
    <t xml:space="preserve">All 4 attend</t>
  </si>
  <si>
    <t xml:space="preserve">Review prior SAP security assessment collateral &amp; this reference doc</t>
  </si>
  <si>
    <t xml:space="preserve">Discovery notes v0</t>
  </si>
  <si>
    <t xml:space="preserve">Set up project workspace - shared drive, board (Jira/Trello), Git repo</t>
  </si>
  <si>
    <t xml:space="preserve">Project workspace live</t>
  </si>
  <si>
    <t xml:space="preserve">Draft SME questionnaire distribution list &amp; interview schedule</t>
  </si>
  <si>
    <t xml:space="preserve">Interview schedule</t>
  </si>
  <si>
    <t xml:space="preserve">Book SME calendar early</t>
  </si>
  <si>
    <t xml:space="preserve">SME Questionnaire Kickoff</t>
  </si>
  <si>
    <t xml:space="preserve">Finalize and circulate SME Questionnaire v1 to internal SME</t>
  </si>
  <si>
    <t xml:space="preserve">Day 1 kickoff</t>
  </si>
  <si>
    <t xml:space="preserve">SME Questionnaire sent</t>
  </si>
  <si>
    <t xml:space="preserve">Research RISE/ECS responsibility matrix (SAP contract docs, OSS notes)</t>
  </si>
  <si>
    <t xml:space="preserve">ECS boundary notes v0</t>
  </si>
  <si>
    <t xml:space="preserve">Critical for scoring model</t>
  </si>
  <si>
    <t xml:space="preserve">Set up Python dev environment - repo scaffold, linting, CI skeleton</t>
  </si>
  <si>
    <t xml:space="preserve">Workspace live</t>
  </si>
  <si>
    <t xml:space="preserve">Dev environment ready</t>
  </si>
  <si>
    <t xml:space="preserve">Confirm SME availability windows for interviews (Days 3-5)</t>
  </si>
  <si>
    <t xml:space="preserve">Confirmed calendar invites</t>
  </si>
  <si>
    <t xml:space="preserve">SME Interview #1 - Auth Concept &amp; Role Design</t>
  </si>
  <si>
    <t xml:space="preserve">SME interview - authorization concept, role design standards, naming conventions</t>
  </si>
  <si>
    <t xml:space="preserve">SME available</t>
  </si>
  <si>
    <t xml:space="preserve">Interview notes - Auth Concept</t>
  </si>
  <si>
    <t xml:space="preserve">SME co-attends</t>
  </si>
  <si>
    <t xml:space="preserve">Research SAP security baseline standards (SAP Security Baseline, DSAG, BSI)</t>
  </si>
  <si>
    <t xml:space="preserve">Baseline research pack</t>
  </si>
  <si>
    <t xml:space="preserve">Document RISE/ECS boundary rules per technical domain (params/RFC/gateway)</t>
  </si>
  <si>
    <t xml:space="preserve">ECS boundary matrix v1</t>
  </si>
  <si>
    <t xml:space="preserve">Key risk item from brief</t>
  </si>
  <si>
    <t xml:space="preserve">Draft initial data source inventory (tables/tcodes/reports needed)</t>
  </si>
  <si>
    <t xml:space="preserve">Data source inventory v0</t>
  </si>
  <si>
    <t xml:space="preserve">AGR_*, USR*, TSTC, RSPARAM etc.</t>
  </si>
  <si>
    <t xml:space="preserve">SME Interview #2 - RFC, Gateway &amp; Critical Auths</t>
  </si>
  <si>
    <t xml:space="preserve">SME interview - RFC destination hardening, gateway ACLs, critical basis auths</t>
  </si>
  <si>
    <t xml:space="preserve">Day 3 notes</t>
  </si>
  <si>
    <t xml:space="preserve">Interview notes - RFC/Gateway</t>
  </si>
  <si>
    <t xml:space="preserve">Define read-only technical user + authorization profile for collectors</t>
  </si>
  <si>
    <t xml:space="preserve">Technical user auth spec v0</t>
  </si>
  <si>
    <t xml:space="preserve">Feeds Prerequisite Checklist</t>
  </si>
  <si>
    <t xml:space="preserve">Draft prerequisite access request template for customer Basis team</t>
  </si>
  <si>
    <t xml:space="preserve">Access request template</t>
  </si>
  <si>
    <t xml:space="preserve">Consolidate Day 1-4 findings into discovery notes</t>
  </si>
  <si>
    <t xml:space="preserve">All prior interviews</t>
  </si>
  <si>
    <t xml:space="preserve">Discovery notes v1</t>
  </si>
  <si>
    <t xml:space="preserve">SME Interview #3 - SoD, GRC, Interfaces + Week 1 Close</t>
  </si>
  <si>
    <t xml:space="preserve">SME interview - SoD ruleset, GRC maturity, Fiori/OData, transport process</t>
  </si>
  <si>
    <t xml:space="preserve">Day 4 notes</t>
  </si>
  <si>
    <t xml:space="preserve">Interview notes - SoD/GRC/Interfaces</t>
  </si>
  <si>
    <t xml:space="preserve">Finalize Prerequisite Checklist v1 (draft)</t>
  </si>
  <si>
    <t xml:space="preserve">Prerequisite Checklist v1</t>
  </si>
  <si>
    <t xml:space="preserve">Finalize SME Questionnaire v1 - fold in internal SME feedback</t>
  </si>
  <si>
    <t xml:space="preserve">SME Questionnaire v1 (final)</t>
  </si>
  <si>
    <t xml:space="preserve">Week 1 retro &amp; Week 2 planning</t>
  </si>
  <si>
    <t xml:space="preserve">Week 2 plan</t>
  </si>
  <si>
    <t xml:space="preserve">Phase 1 - Baseline Library &amp; Scoring Model Design</t>
  </si>
  <si>
    <t xml:space="preserve">Baseline Library Structure</t>
  </si>
  <si>
    <t xml:space="preserve">Design baseline library schema (YAML/JSON) - one entry per control</t>
  </si>
  <si>
    <t xml:space="preserve">Baseline schema v0</t>
  </si>
  <si>
    <t xml:space="preserve">Define control categories: auth concept, params, RFC, gateway, critical auths, interfaces, SoD</t>
  </si>
  <si>
    <t xml:space="preserve">Control taxonomy v1</t>
  </si>
  <si>
    <t xml:space="preserve">Map SAP-recommended baseline values (login/password policy, auth switches, etc.)</t>
  </si>
  <si>
    <t xml:space="preserve">Baseline values v0</t>
  </si>
  <si>
    <t xml:space="preserve">SME to validate Day 7</t>
  </si>
  <si>
    <t xml:space="preserve">Tag ECS/RISE ownership flag against each baseline entry</t>
  </si>
  <si>
    <t xml:space="preserve">Baseline entries flagged</t>
  </si>
  <si>
    <t xml:space="preserve">Ties to key risk in brief</t>
  </si>
  <si>
    <t xml:space="preserve">Scoring Model Design</t>
  </si>
  <si>
    <t xml:space="preserve">Define maturity model (0-5 levels) per control category</t>
  </si>
  <si>
    <t xml:space="preserve">Maturity model v1</t>
  </si>
  <si>
    <t xml:space="preserve">Define weighting/scoring algorithm (control criticality x compliance gap)</t>
  </si>
  <si>
    <t xml:space="preserve">Scoring algorithm spec v0</t>
  </si>
  <si>
    <t xml:space="preserve">Design transformation readiness dimensions (auth complexity, custom code, interfaces)</t>
  </si>
  <si>
    <t xml:space="preserve">Readiness scoring spec v0</t>
  </si>
  <si>
    <t xml:space="preserve">SME review of maturity levels for technical accuracy</t>
  </si>
  <si>
    <t xml:space="preserve">SME feedback log</t>
  </si>
  <si>
    <t xml:space="preserve">Mandatory review gate</t>
  </si>
  <si>
    <t xml:space="preserve">Collector Scope Definition</t>
  </si>
  <si>
    <t xml:space="preserve">Finalize RFC-enabled function modules / read APIs needed per data source</t>
  </si>
  <si>
    <t xml:space="preserve">Collector API list v1</t>
  </si>
  <si>
    <t xml:space="preserve">Validate read-only sufficiency of each API with SME (no execute risk)</t>
  </si>
  <si>
    <t xml:space="preserve">Read-only validation sign-off</t>
  </si>
  <si>
    <t xml:space="preserve">Guardrail: read-only only</t>
  </si>
  <si>
    <t xml:space="preserve">Draft collector script architecture - modular per security domain</t>
  </si>
  <si>
    <t xml:space="preserve">Collector architecture v1</t>
  </si>
  <si>
    <t xml:space="preserve">Define collector output JSON schema</t>
  </si>
  <si>
    <t xml:space="preserve">Collector output schema v1</t>
  </si>
  <si>
    <t xml:space="preserve">Reporting &amp; Roadmap Design</t>
  </si>
  <si>
    <t xml:space="preserve">Design LLM prompt templates for findings narrative generation</t>
  </si>
  <si>
    <t xml:space="preserve">Prompt templates v0</t>
  </si>
  <si>
    <t xml:space="preserve">Define report structure - exec summary, technical findings, gap analysis, roadmap</t>
  </si>
  <si>
    <t xml:space="preserve">Report structure spec v1</t>
  </si>
  <si>
    <t xml:space="preserve">Draft remediation prioritization logic (risk x effort matrix)</t>
  </si>
  <si>
    <t xml:space="preserve">Prioritization logic v0</t>
  </si>
  <si>
    <t xml:space="preserve">Draft customer-facing roadmap deck template outline</t>
  </si>
  <si>
    <t xml:space="preserve">Deck outline v0</t>
  </si>
  <si>
    <t xml:space="preserve">Design Review &amp; Sign-off (Week 2 Close)</t>
  </si>
  <si>
    <t xml:space="preserve">Internal design review - architecture, scoring model, baseline library</t>
  </si>
  <si>
    <t xml:space="preserve">All Week 2 outputs</t>
  </si>
  <si>
    <t xml:space="preserve">Design review notes</t>
  </si>
  <si>
    <t xml:space="preserve">SME sign-off on Baseline Library v1</t>
  </si>
  <si>
    <t xml:space="preserve">Baseline Library v1 (signed off)</t>
  </si>
  <si>
    <t xml:space="preserve">Version-controlled per guardrail</t>
  </si>
  <si>
    <t xml:space="preserve">Finalize Prerequisite Checklist v2 with access/API findings</t>
  </si>
  <si>
    <t xml:space="preserve">Prerequisite Checklist v2</t>
  </si>
  <si>
    <t xml:space="preserve">Week 2 retro &amp; Week 3 planning</t>
  </si>
  <si>
    <t xml:space="preserve">Week 3 plan</t>
  </si>
  <si>
    <t xml:space="preserve">Phase 2 - Collector Script Development</t>
  </si>
  <si>
    <t xml:space="preserve">Auth Concept Collector - Build</t>
  </si>
  <si>
    <t xml:space="preserve">Build collector: AGR_* tables, role/profile assignments</t>
  </si>
  <si>
    <t xml:space="preserve">Collector: Auth Concept v0.1</t>
  </si>
  <si>
    <t xml:space="preserve">Build SUIM extraction scripts - user/role listing, critical combos</t>
  </si>
  <si>
    <t xml:space="preserve">Collector: SUIM extract v0.1</t>
  </si>
  <si>
    <t xml:space="preserve">Auth Concept Collector - Depth</t>
  </si>
  <si>
    <t xml:space="preserve">Parse role naming convention adherence, single vs composite vs derived</t>
  </si>
  <si>
    <t xml:space="preserve">Role hygiene parser v0.1</t>
  </si>
  <si>
    <t xml:space="preserve">Build SoD data extraction logic (via SUIM, or GRC export if available)</t>
  </si>
  <si>
    <t xml:space="preserve">SoD data extractor v0.1</t>
  </si>
  <si>
    <t xml:space="preserve">Profile Parameter Collector</t>
  </si>
  <si>
    <t xml:space="preserve">Build RSPARAM/profile parameter extraction script</t>
  </si>
  <si>
    <t xml:space="preserve">Collector: Profile Params v0.1</t>
  </si>
  <si>
    <t xml:space="preserve">Map extracted parameters against Baseline Library thresholds</t>
  </si>
  <si>
    <t xml:space="preserve">Parameter comparison logic v0.1</t>
  </si>
  <si>
    <t xml:space="preserve">RFC &amp; Gateway Collector</t>
  </si>
  <si>
    <t xml:space="preserve">Build SM59 RFC destination extraction (type, auth method, stored creds flag)</t>
  </si>
  <si>
    <t xml:space="preserve">Collector: RFC Destinations v0.1</t>
  </si>
  <si>
    <t xml:space="preserve">Build gateway ACL parser (secinfo/reginfo)</t>
  </si>
  <si>
    <t xml:space="preserve">Collector: Gateway ACL v0.1</t>
  </si>
  <si>
    <t xml:space="preserve">Critical Basis Auths &amp; Standard Users Collector</t>
  </si>
  <si>
    <t xml:space="preserve">Build critical authorization check (SAP_ALL/SAP_NEW, S_TABU_DIS, S_DEVELOP etc.)</t>
  </si>
  <si>
    <t xml:space="preserve">Collector: Critical Auths v0.1</t>
  </si>
  <si>
    <t xml:space="preserve">Build standard user status check (SAP*, DDIC, EARLYWATCH, TMSADM)</t>
  </si>
  <si>
    <t xml:space="preserve">Collector: Standard Users v0.1</t>
  </si>
  <si>
    <t xml:space="preserve">Security Switch &amp; Audit Log Collector</t>
  </si>
  <si>
    <t xml:space="preserve">Build RZ11 security switch extraction (login/password policy, auth switches)</t>
  </si>
  <si>
    <t xml:space="preserve">Collector: RZ11 Switches v0.1</t>
  </si>
  <si>
    <t xml:space="preserve">Build SM19/SM20 audit log configuration check</t>
  </si>
  <si>
    <t xml:space="preserve">Collector: Audit Log Config v0.1</t>
  </si>
  <si>
    <t xml:space="preserve">Interface / Fiori / OData Collector</t>
  </si>
  <si>
    <t xml:space="preserve">Build SICF service status extraction (active/inactive, auth checks)</t>
  </si>
  <si>
    <t xml:space="preserve">Collector: SICF Services v0.1</t>
  </si>
  <si>
    <t xml:space="preserve">Build OData/Fiori service security check</t>
  </si>
  <si>
    <t xml:space="preserve">Collector: OData Security v0.1</t>
  </si>
  <si>
    <t xml:space="preserve">Collector Integration &amp; Error Handling</t>
  </si>
  <si>
    <t xml:space="preserve">Integrate all collector modules into a single agentless runner</t>
  </si>
  <si>
    <t xml:space="preserve">All collector modules v0.1</t>
  </si>
  <si>
    <t xml:space="preserve">Unified collector runner v0.1</t>
  </si>
  <si>
    <t xml:space="preserve">Add error handling, retry logic, and structured logging</t>
  </si>
  <si>
    <t xml:space="preserve">Collector runner v0.2 (hardened)</t>
  </si>
  <si>
    <t xml:space="preserve">Collector Testing Round 1</t>
  </si>
  <si>
    <t xml:space="preserve">Unit test each collector module against internal test system</t>
  </si>
  <si>
    <t xml:space="preserve">Collector runner v0.2</t>
  </si>
  <si>
    <t xml:space="preserve">Unit test results - Round 1</t>
  </si>
  <si>
    <t xml:space="preserve">Cross-check sample collector output field-by-field</t>
  </si>
  <si>
    <t xml:space="preserve">QA notes - Round 1</t>
  </si>
  <si>
    <t xml:space="preserve">SME review of sample collector output for accuracy/completeness</t>
  </si>
  <si>
    <t xml:space="preserve">SME review notes - Collectors</t>
  </si>
  <si>
    <t xml:space="preserve">Collector Refinement &amp; Sign-off (Week 3-4 Close)</t>
  </si>
  <si>
    <t xml:space="preserve">Fix issues identified in Day 19 SME/QA review</t>
  </si>
  <si>
    <t xml:space="preserve">Collector runner v1.0</t>
  </si>
  <si>
    <t xml:space="preserve">Re-validate fixes against test system</t>
  </si>
  <si>
    <t xml:space="preserve">Regression check - Collectors</t>
  </si>
  <si>
    <t xml:space="preserve">Sign-off on Collector Pack v1.0; tag in version control</t>
  </si>
  <si>
    <t xml:space="preserve">Collector Pack v1.0 (tagged)</t>
  </si>
  <si>
    <t xml:space="preserve">All 4 sign off</t>
  </si>
  <si>
    <t xml:space="preserve">Phase 3 - Scoring Engine Development</t>
  </si>
  <si>
    <t xml:space="preserve">Scoring Engine Core</t>
  </si>
  <si>
    <t xml:space="preserve">Build scoring engine ingesting collector JSON output</t>
  </si>
  <si>
    <t xml:space="preserve">Collector Pack v1.0</t>
  </si>
  <si>
    <t xml:space="preserve">Scoring engine core v0.1</t>
  </si>
  <si>
    <t xml:space="preserve">Implement baseline comparison logic (current vs. Baseline Library)</t>
  </si>
  <si>
    <t xml:space="preserve">Baseline comparison module v0.1</t>
  </si>
  <si>
    <t xml:space="preserve">Maturity &amp; Readiness Scoring</t>
  </si>
  <si>
    <t xml:space="preserve">Implement maturity score calculation per control category</t>
  </si>
  <si>
    <t xml:space="preserve">Maturity scoring module v0.1</t>
  </si>
  <si>
    <t xml:space="preserve">Implement transformation readiness score calculation</t>
  </si>
  <si>
    <t xml:space="preserve">Readiness scoring spec v0.0</t>
  </si>
  <si>
    <t xml:space="preserve">Readiness scoring module v0.1</t>
  </si>
  <si>
    <t xml:space="preserve">ECS / RISE Boundary Logic</t>
  </si>
  <si>
    <t xml:space="preserve">Implement ECS/RISE flag - exclude SAP-managed items from customer risk score</t>
  </si>
  <si>
    <t xml:space="preserve">ECS boundary logic v0.1</t>
  </si>
  <si>
    <t xml:space="preserve">Directly addresses brief's key risk</t>
  </si>
  <si>
    <t xml:space="preserve">Validate ECS boundary logic against RISE responsibility matrix</t>
  </si>
  <si>
    <t xml:space="preserve">ECS boundary validation sign-off</t>
  </si>
  <si>
    <t xml:space="preserve">Gap Analysis &amp; Prioritization</t>
  </si>
  <si>
    <t xml:space="preserve">Build gap analysis output (current state vs. baseline, by category)</t>
  </si>
  <si>
    <t xml:space="preserve">Gap analysis module v0.1</t>
  </si>
  <si>
    <t xml:space="preserve">Build remediation prioritization logic (risk x effort matrix)</t>
  </si>
  <si>
    <t xml:space="preserve">Prioritization logic v0.0</t>
  </si>
  <si>
    <t xml:space="preserve">Prioritization module v0.1</t>
  </si>
  <si>
    <t xml:space="preserve">Scoring Engine Testing &amp; Sign-off</t>
  </si>
  <si>
    <t xml:space="preserve">Test scoring engine end-to-end against sample dataset</t>
  </si>
  <si>
    <t xml:space="preserve">All scoring modules v0.1</t>
  </si>
  <si>
    <t xml:space="preserve">Scoring engine test results</t>
  </si>
  <si>
    <t xml:space="preserve">Review scoring outputs for logical soundness / edge cases (zero findings, all-critical)</t>
  </si>
  <si>
    <t xml:space="preserve">Scoring QA notes</t>
  </si>
  <si>
    <t xml:space="preserve">SME review of scoring outputs for technical soundness</t>
  </si>
  <si>
    <t xml:space="preserve">Scoring Engine v1.0 (signed off)</t>
  </si>
  <si>
    <t xml:space="preserve">Phase 4 - AI Reporting &amp; Roadmap Layer</t>
  </si>
  <si>
    <t xml:space="preserve">LLM Integration Setup</t>
  </si>
  <si>
    <t xml:space="preserve">Set up LLM API integration - prompt assembly + context injection from scored data</t>
  </si>
  <si>
    <t xml:space="preserve">Scoring Engine v1.0</t>
  </si>
  <si>
    <t xml:space="preserve">LLM integration v0.1</t>
  </si>
  <si>
    <t xml:space="preserve">Draft and test executive summary prompt template</t>
  </si>
  <si>
    <t xml:space="preserve">Prompt templates v0.0</t>
  </si>
  <si>
    <t xml:space="preserve">Exec summary prompt v0.1</t>
  </si>
  <si>
    <t xml:space="preserve">Findings Report Generation</t>
  </si>
  <si>
    <t xml:space="preserve">Build automated technical findings report generator</t>
  </si>
  <si>
    <t xml:space="preserve">Findings report generator v0.1</t>
  </si>
  <si>
    <t xml:space="preserve">Build gap analysis narrative section generator</t>
  </si>
  <si>
    <t xml:space="preserve">Gap narrative generator v0.1</t>
  </si>
  <si>
    <t xml:space="preserve">Remediation Roadmap Deck Generation</t>
  </si>
  <si>
    <t xml:space="preserve">Build PPT roadmap deck generator (python-pptx) from prioritization output</t>
  </si>
  <si>
    <t xml:space="preserve">Roadmap deck generator v0.1</t>
  </si>
  <si>
    <t xml:space="preserve">Design roadmap slide template - phased remediation plan, cost/effort view</t>
  </si>
  <si>
    <t xml:space="preserve">Deck outline v0.0</t>
  </si>
  <si>
    <t xml:space="preserve">Roadmap slide template v1</t>
  </si>
  <si>
    <t xml:space="preserve">Report Formatting, Branding &amp; QA</t>
  </si>
  <si>
    <t xml:space="preserve">Apply firm branding/template to generated reports and deck</t>
  </si>
  <si>
    <t xml:space="preserve">Branded report templates</t>
  </si>
  <si>
    <t xml:space="preserve">QA pass on generated report language, tone, and factual consistency</t>
  </si>
  <si>
    <t xml:space="preserve">Report QA notes</t>
  </si>
  <si>
    <t xml:space="preserve">AI Layer End-to-End Testing</t>
  </si>
  <si>
    <t xml:space="preserve">Test end-to-end report generation on sample scored dataset</t>
  </si>
  <si>
    <t xml:space="preserve">E2E report test - Round 1</t>
  </si>
  <si>
    <t xml:space="preserve">Full pipeline dry run: collector -&gt; scoring -&gt; report -&gt; deck</t>
  </si>
  <si>
    <t xml:space="preserve">Pipeline dry-run notes</t>
  </si>
  <si>
    <t xml:space="preserve">SME review of AI-generated findings for accuracy</t>
  </si>
  <si>
    <t xml:space="preserve">SME review notes - AI Layer</t>
  </si>
  <si>
    <t xml:space="preserve">Phase 5 - Testing (Unit/Integration/Security)</t>
  </si>
  <si>
    <t xml:space="preserve">Unit &amp; Integration Testing</t>
  </si>
  <si>
    <t xml:space="preserve">Complete unit test suite for collectors + scoring engine</t>
  </si>
  <si>
    <t xml:space="preserve">Collector Pack v1.0 / Scoring Engine v1.0</t>
  </si>
  <si>
    <t xml:space="preserve">Unit test suite complete</t>
  </si>
  <si>
    <t xml:space="preserve">Integration testing across full pipeline (collector to report)</t>
  </si>
  <si>
    <t xml:space="preserve">Integration test results</t>
  </si>
  <si>
    <t xml:space="preserve">Security Testing</t>
  </si>
  <si>
    <t xml:space="preserve">Verify collectors are strictly read-only - no write/execute exposure</t>
  </si>
  <si>
    <t xml:space="preserve">Read-only verification report</t>
  </si>
  <si>
    <t xml:space="preserve">Guardrail per brief</t>
  </si>
  <si>
    <t xml:space="preserve">Validate technical user authorization scope - least-privilege check</t>
  </si>
  <si>
    <t xml:space="preserve">Least-privilege sign-off</t>
  </si>
  <si>
    <t xml:space="preserve">Performance Testing</t>
  </si>
  <si>
    <t xml:space="preserve">Run collectors against a larger test system - measure runtime and load impact</t>
  </si>
  <si>
    <t xml:space="preserve">Performance test report</t>
  </si>
  <si>
    <t xml:space="preserve">Confirm no measurable performance degradation on target SAP system</t>
  </si>
  <si>
    <t xml:space="preserve">Performance sign-off</t>
  </si>
  <si>
    <t xml:space="preserve">Full Dry-Run &amp; SME UAT Round 1</t>
  </si>
  <si>
    <t xml:space="preserve">Full dry-run assessment on internal test system, start to finish</t>
  </si>
  <si>
    <t xml:space="preserve">All Phase 5 sign-offs</t>
  </si>
  <si>
    <t xml:space="preserve">Dry-run report + deck (draft)</t>
  </si>
  <si>
    <t xml:space="preserve">All 4 observe/participate</t>
  </si>
  <si>
    <t xml:space="preserve">SME reviews full report and roadmap deck for technical accuracy</t>
  </si>
  <si>
    <t xml:space="preserve">UAT Round 1 findings log</t>
  </si>
  <si>
    <t xml:space="preserve">Defect Fixing &amp; Baseline Tuning</t>
  </si>
  <si>
    <t xml:space="preserve">Fix issues identified in UAT Round 1</t>
  </si>
  <si>
    <t xml:space="preserve">Defect fix log</t>
  </si>
  <si>
    <t xml:space="preserve">Update Baseline Library / scoring logic per SME feedback</t>
  </si>
  <si>
    <t xml:space="preserve">Baseline Library v1.1</t>
  </si>
  <si>
    <t xml:space="preserve">Phase 6 - Pilot Run &amp; Refinement</t>
  </si>
  <si>
    <t xml:space="preserve">Pilot Preparation</t>
  </si>
  <si>
    <t xml:space="preserve">Select pilot customer/system and confirm scope with sponsor</t>
  </si>
  <si>
    <t xml:space="preserve">Pilot scope confirmed</t>
  </si>
  <si>
    <t xml:space="preserve">Prepare Prerequisite Checklist and access request pack for pilot customer</t>
  </si>
  <si>
    <t xml:space="preserve">Pilot access request pack</t>
  </si>
  <si>
    <t xml:space="preserve">Pilot Access &amp; Setup</t>
  </si>
  <si>
    <t xml:space="preserve">Obtain customer approvals and provision read-only technical user</t>
  </si>
  <si>
    <t xml:space="preserve">Pilot technical user provisioned</t>
  </si>
  <si>
    <t xml:space="preserve">Depends on customer Basis team</t>
  </si>
  <si>
    <t xml:space="preserve">Deploy collector package to pilot landscape via secure channel</t>
  </si>
  <si>
    <t xml:space="preserve">Collector deployed - pilot</t>
  </si>
  <si>
    <t xml:space="preserve">Pilot Execution</t>
  </si>
  <si>
    <t xml:space="preserve">Run collectors on pilot system</t>
  </si>
  <si>
    <t xml:space="preserve">Pilot raw data captured</t>
  </si>
  <si>
    <t xml:space="preserve">Run collectors - second pass / edge cases (multiple clients, systems)</t>
  </si>
  <si>
    <t xml:space="preserve">Pilot raw data - full landscape</t>
  </si>
  <si>
    <t xml:space="preserve">Validate data completeness against expected data source inventory</t>
  </si>
  <si>
    <t xml:space="preserve">Data completeness sign-off</t>
  </si>
  <si>
    <t xml:space="preserve">Pilot Report Generation &amp; Mandatory SME Review</t>
  </si>
  <si>
    <t xml:space="preserve">Generate scored findings report + roadmap deck for pilot customer</t>
  </si>
  <si>
    <t xml:space="preserve">Pilot report + deck (draft)</t>
  </si>
  <si>
    <t xml:space="preserve">SME review before customer delivery (mandatory gate per guardrails)</t>
  </si>
  <si>
    <t xml:space="preserve">Pilot report + deck (SME-approved)</t>
  </si>
  <si>
    <t xml:space="preserve">Non-negotiable guardrail from brief</t>
  </si>
  <si>
    <t xml:space="preserve">Pilot Feedback &amp; Iteration (Week 8 Close)</t>
  </si>
  <si>
    <t xml:space="preserve">Internal pilot retrospective - capture lessons learned</t>
  </si>
  <si>
    <t xml:space="preserve">Pilot retro notes</t>
  </si>
  <si>
    <t xml:space="preserve">Refine Baseline Library / scoring / report templates based on pilot</t>
  </si>
  <si>
    <t xml:space="preserve">Baseline Library v1.2 / Report templates v1.1</t>
  </si>
  <si>
    <t xml:space="preserve">Phase 7 - Productionization &amp; Handover</t>
  </si>
  <si>
    <t xml:space="preserve">Documentation</t>
  </si>
  <si>
    <t xml:space="preserve">Write operator documentation - runbook, troubleshooting guide</t>
  </si>
  <si>
    <t xml:space="preserve">Collector Pack v1.0+</t>
  </si>
  <si>
    <t xml:space="preserve">Operator runbook v1</t>
  </si>
  <si>
    <t xml:space="preserve">Document Baseline Library versioning and change process</t>
  </si>
  <si>
    <t xml:space="preserve">Baseline Library v1.2</t>
  </si>
  <si>
    <t xml:space="preserve">Baseline versioning SOP</t>
  </si>
  <si>
    <t xml:space="preserve">Commercial Packaging</t>
  </si>
  <si>
    <t xml:space="preserve">Finalize business proposal / pricing and engagement model</t>
  </si>
  <si>
    <t xml:space="preserve">Business proposal v1</t>
  </si>
  <si>
    <t xml:space="preserve">Finalize customer-facing pitch deck using pilot outcomes as proof point</t>
  </si>
  <si>
    <t xml:space="preserve">Customer pitch deck v1</t>
  </si>
  <si>
    <t xml:space="preserve">Go-Live Readiness Review</t>
  </si>
  <si>
    <t xml:space="preserve">Final go/no-go review across scope, quality, guardrails</t>
  </si>
  <si>
    <t xml:space="preserve">All Phase 6-7 deliverables</t>
  </si>
  <si>
    <t xml:space="preserve">Go-live decision</t>
  </si>
  <si>
    <t xml:space="preserve">Tag Collector + Scoring + Baseline Library as v1.0 production release</t>
  </si>
  <si>
    <t xml:space="preserve">Production release v1.0 (tagged)</t>
  </si>
  <si>
    <t xml:space="preserve">#</t>
  </si>
  <si>
    <t xml:space="preserve">Category</t>
  </si>
  <si>
    <t xml:space="preserve">Checklist Item</t>
  </si>
  <si>
    <t xml:space="preserve">Description / Requirement</t>
  </si>
  <si>
    <t xml:space="preserve">Required From</t>
  </si>
  <si>
    <t xml:space="preserve">Priority</t>
  </si>
  <si>
    <t xml:space="preserve">Notes</t>
  </si>
  <si>
    <t xml:space="preserve">SAP System Access</t>
  </si>
  <si>
    <t xml:space="preserve">Test/sandbox SAP system available (ECC or S/4)</t>
  </si>
  <si>
    <t xml:space="preserve">Non-production system for internal dev and collector testing, not an empty client</t>
  </si>
  <si>
    <t xml:space="preserve">Internal IT/Basis</t>
  </si>
  <si>
    <t xml:space="preserve">High</t>
  </si>
  <si>
    <t xml:space="preserve">Representative test system with real-ish data</t>
  </si>
  <si>
    <t xml:space="preserve">Populated roles, RFCs, parameters - not a vanilla client - so collectors have something meaningful to read</t>
  </si>
  <si>
    <t xml:space="preserve">Dedicated technical/communication user created</t>
  </si>
  <si>
    <t xml:space="preserve">Read-only, S_RFC-based communication user for collector to log on as</t>
  </si>
  <si>
    <t xml:space="preserve">Internal Basis Team</t>
  </si>
  <si>
    <t xml:space="preserve">Remote connectivity to test system configured</t>
  </si>
  <si>
    <t xml:space="preserve">VPN/SAProuter access from collector host to the SAP application server</t>
  </si>
  <si>
    <t xml:space="preserve">Internal IT</t>
  </si>
  <si>
    <t xml:space="preserve">Medium</t>
  </si>
  <si>
    <t xml:space="preserve">Authorizations</t>
  </si>
  <si>
    <t xml:space="preserve">Least-privilege auth profile for technical user</t>
  </si>
  <si>
    <t xml:space="preserve">Display-only auth objects: S_TABU_DIS (display), S_RFC, S_USER_GRP (display), S_TCODE for SUIM/SM59/RZ11 (display)</t>
  </si>
  <si>
    <t xml:space="preserve">Internal Basis/SME</t>
  </si>
  <si>
    <t xml:space="preserve">Confirm no write/execute rights on collector user</t>
  </si>
  <si>
    <t xml:space="preserve">No S_TABU_DIS write, no RFC test-connection execute, no BAPI execute beyond the approved read list</t>
  </si>
  <si>
    <t xml:space="preserve">Written least-privilege confirmation on file</t>
  </si>
  <si>
    <t xml:space="preserve">Signed note from SME/Basis confirming the technical user's authorization scope before first run</t>
  </si>
  <si>
    <t xml:space="preserve">Data Sources</t>
  </si>
  <si>
    <t xml:space="preserve">Finalized table read list confirmed accessible</t>
  </si>
  <si>
    <t xml:space="preserve">AGR_*, USR*, UST*, TSTC, TSTCT, TOBJ, USOBT_C, USOBX_C - confirm technical user can read each</t>
  </si>
  <si>
    <t xml:space="preserve">Finalized transaction/report list confirmed accessible</t>
  </si>
  <si>
    <t xml:space="preserve">SUIM, RZ10, RZ11, SM59, SICF, SM20/RSAU - confirm display access</t>
  </si>
  <si>
    <t xml:space="preserve">Table read method decided (RFC_READ_TABLE vs custom Z-RFC)</t>
  </si>
  <si>
    <t xml:space="preserve">Decide and document; if a custom Z-RFC is required, treat as a build dependency</t>
  </si>
  <si>
    <t xml:space="preserve">Rohan / SAP Security SME</t>
  </si>
  <si>
    <t xml:space="preserve">Transport request raised for any custom Z-RFC</t>
  </si>
  <si>
    <t xml:space="preserve">If a Z-RFC module is required for read access, get it built, tested, and transported</t>
  </si>
  <si>
    <t xml:space="preserve">Basis/Transport Team</t>
  </si>
  <si>
    <t xml:space="preserve">RFC / Gateway</t>
  </si>
  <si>
    <t xml:space="preserve">List of RFC destinations to inspect confirmed (SM59)</t>
  </si>
  <si>
    <t xml:space="preserve">Scope which RFC destinations are in-bounds for the assessment</t>
  </si>
  <si>
    <t xml:space="preserve">Gateway ACL file location and read access confirmed</t>
  </si>
  <si>
    <t xml:space="preserve">secinfo/reginfo file paths and read permissions verified for the collector host</t>
  </si>
  <si>
    <t xml:space="preserve">Infrastructure</t>
  </si>
  <si>
    <t xml:space="preserve">Python environment provisioned on collector host</t>
  </si>
  <si>
    <t xml:space="preserve">Correct Python version plus required libraries (pyrfc/JCo wrapper, pandas, PyYAML)</t>
  </si>
  <si>
    <t xml:space="preserve">SAP NetWeaver RFC SDK / JCo libraries licensed and installed</t>
  </si>
  <si>
    <t xml:space="preserve">Required for RFC-based collector connectivity; confirm licensing terms</t>
  </si>
  <si>
    <t xml:space="preserve">Network path from collector host to SAP app server validated</t>
  </si>
  <si>
    <t xml:space="preserve">Confirm reachability on the SAP gateway/dispatcher port (32xx/33xx) through firewall</t>
  </si>
  <si>
    <t xml:space="preserve">LLM API access provisioned and smoke-tested</t>
  </si>
  <si>
    <t xml:space="preserve">API key issued, rate limits understood, and a test call confirmed working before build starts</t>
  </si>
  <si>
    <t xml:space="preserve">Secure storage/handling defined for collected data</t>
  </si>
  <si>
    <t xml:space="preserve">Encryption at rest, defined retention window, and deletion process for extracted SAP data</t>
  </si>
  <si>
    <t xml:space="preserve">Compliance / Security</t>
  </si>
  <si>
    <t xml:space="preserve">Internal InfoSec sign-off obtained</t>
  </si>
  <si>
    <t xml:space="preserve">Confirmation that the collector is read-only and safe to run against a live SAP system</t>
  </si>
  <si>
    <t xml:space="preserve">SAP Security SME / Rohan</t>
  </si>
  <si>
    <t xml:space="preserve">Data handling and retention policy documented</t>
  </si>
  <si>
    <t xml:space="preserve">What is collected, where it is stored, for how long, and who can access it</t>
  </si>
  <si>
    <t xml:space="preserve">NDA / data processing agreement template ready</t>
  </si>
  <si>
    <t xml:space="preserve">Needed before running the tool against any customer (pilot or otherwise) system</t>
  </si>
  <si>
    <t xml:space="preserve">ECS/RISE responsibility matrix validated</t>
  </si>
  <si>
    <t xml:space="preserve">Cross-checked against SAP's official RISE service description so SAP-managed items are never scored as customer findings</t>
  </si>
  <si>
    <t xml:space="preserve">Customer / Pilot Readiness</t>
  </si>
  <si>
    <t xml:space="preserve">Customer Basis approval for technical user creation</t>
  </si>
  <si>
    <t xml:space="preserve">Required before any pilot/customer engagement can start</t>
  </si>
  <si>
    <t xml:space="preserve">Customer security/compliance sign-off to run the assessment</t>
  </si>
  <si>
    <t xml:space="preserve">Formal approval that the read-only tool may be run on their landscape</t>
  </si>
  <si>
    <t xml:space="preserve">System landscape details confirmed</t>
  </si>
  <si>
    <t xml:space="preserve">ECC vs S/4, on-prem vs RISE/private cloud, number of clients/systems in scope</t>
  </si>
  <si>
    <t xml:space="preserve">Maintenance window / non-prod system confirmed for pilot run</t>
  </si>
  <si>
    <t xml:space="preserve">Preferably run first customer pass on QA/sandbox rather than production</t>
  </si>
  <si>
    <t xml:space="preserve">Documentation / Baseline</t>
  </si>
  <si>
    <t xml:space="preserve">Baseline Library v1 finalized and version-controlled</t>
  </si>
  <si>
    <t xml:space="preserve">Committed to Git with a version tag before any collector development starts using it</t>
  </si>
  <si>
    <t xml:space="preserve">SME sign-off document on baseline thresholds</t>
  </si>
  <si>
    <t xml:space="preserve">Written confirmation the maturity thresholds are technically sound</t>
  </si>
  <si>
    <t xml:space="preserve">Section</t>
  </si>
  <si>
    <t xml:space="preserve">Question</t>
  </si>
  <si>
    <t xml:space="preserve">Purpose</t>
  </si>
  <si>
    <t xml:space="preserve">Mandatory/Optional</t>
  </si>
  <si>
    <t xml:space="preserve">Responsible Person (Customer-side)</t>
  </si>
  <si>
    <t xml:space="preserve">Answer / Notes</t>
  </si>
  <si>
    <t xml:space="preserve">Current Landscape</t>
  </si>
  <si>
    <t xml:space="preserve">How many SAP systems (Dev/QA/Prod) and clients are in scope for this assessment?</t>
  </si>
  <si>
    <t xml:space="preserve">Defines collector deployment scope and effort estimate</t>
  </si>
  <si>
    <t xml:space="preserve">Mandatory</t>
  </si>
  <si>
    <t xml:space="preserve">Basis Lead</t>
  </si>
  <si>
    <t xml:space="preserve">What SAP product versions are in use (ECC EhP level, S/4HANA version)?</t>
  </si>
  <si>
    <t xml:space="preserve">Determines which baseline entries and collectors apply</t>
  </si>
  <si>
    <t xml:space="preserve">Is the customer on SAP RISE/ECS? If so, which service tier?</t>
  </si>
  <si>
    <t xml:space="preserve">Directly determines the ECS/RISE scoring boundary - critical guardrail</t>
  </si>
  <si>
    <t xml:space="preserve">Basis Lead / Contract Owner</t>
  </si>
  <si>
    <t xml:space="preserve">What is the target S/4 transformation approach (Brownfield/Greenfield/Bluefield) and timeline?</t>
  </si>
  <si>
    <t xml:space="preserve">Frames the transformation-readiness scoring context</t>
  </si>
  <si>
    <t xml:space="preserve">Project Sponsor</t>
  </si>
  <si>
    <t xml:space="preserve">Authorization Concept</t>
  </si>
  <si>
    <t xml:space="preserve">Is the authorization concept role-based (single/composite/derived roles) or legacy activity-group based?</t>
  </si>
  <si>
    <t xml:space="preserve">Baseline for role quality scoring</t>
  </si>
  <si>
    <t xml:space="preserve">Security Lead</t>
  </si>
  <si>
    <t xml:space="preserve">What naming convention is used for roles, and is it consistently applied?</t>
  </si>
  <si>
    <t xml:space="preserve">Feeds role hygiene sub-score</t>
  </si>
  <si>
    <t xml:space="preserve">Optional</t>
  </si>
  <si>
    <t xml:space="preserve">Are there SAP_ALL / SAP_NEW assignments in production? To whom, and why?</t>
  </si>
  <si>
    <t xml:space="preserve">Critical-authorization risk input</t>
  </si>
  <si>
    <t xml:space="preserve">How frequently are role authorizations reviewed or recertified, and by whom?</t>
  </si>
  <si>
    <t xml:space="preserve">Maturity-model input on governance</t>
  </si>
  <si>
    <t xml:space="preserve">Profiles &amp; Parameters</t>
  </si>
  <si>
    <t xml:space="preserve">Are RSPARAM/profile parameters centrally managed (RZ10) with change control?</t>
  </si>
  <si>
    <t xml:space="preserve">Governance maturity input</t>
  </si>
  <si>
    <t xml:space="preserve">Are there known deviations from SAP-recommended security parameters today?</t>
  </si>
  <si>
    <t xml:space="preserve">Pre-identifies likely gaps before the collector run</t>
  </si>
  <si>
    <t xml:space="preserve">User Management</t>
  </si>
  <si>
    <t xml:space="preserve">How are standard users (SAP*, DDIC, EARLYWATCH, TMSADM) managed - locked, passwords changed, monitored?</t>
  </si>
  <si>
    <t xml:space="preserve">Standard-user risk scoring</t>
  </si>
  <si>
    <t xml:space="preserve">What is the joiner-mover-leaver process for SAP user provisioning/deprovisioning?</t>
  </si>
  <si>
    <t xml:space="preserve">Maturity-model input on user lifecycle</t>
  </si>
  <si>
    <t xml:space="preserve">Emergency Access</t>
  </si>
  <si>
    <t xml:space="preserve">Is an emergency/firefighter access process in place (SAP GRC EAM or a custom solution)?</t>
  </si>
  <si>
    <t xml:space="preserve">Emergency-access maturity scoring</t>
  </si>
  <si>
    <t xml:space="preserve">GRC Lead</t>
  </si>
  <si>
    <t xml:space="preserve">How are firefighter session logs reviewed, and how often?</t>
  </si>
  <si>
    <t xml:space="preserve">Maturity-model input on emergency-access governance</t>
  </si>
  <si>
    <t xml:space="preserve">GRC / SoD</t>
  </si>
  <si>
    <t xml:space="preserve">Is SAP GRC Access Control implemented? Which modules (ARA, ARQ, EAM, BRM)?</t>
  </si>
  <si>
    <t xml:space="preserve">Determines SoD tooling scope and data availability</t>
  </si>
  <si>
    <t xml:space="preserve">Is there a defined SoD ruleset, and when was it last reviewed?</t>
  </si>
  <si>
    <t xml:space="preserve">SoD-readiness scoring input</t>
  </si>
  <si>
    <t xml:space="preserve">Are SoD violations currently tracked and remediated, or only detected?</t>
  </si>
  <si>
    <t xml:space="preserve">Maturity-level distinction (detective vs. corrective control)</t>
  </si>
  <si>
    <t xml:space="preserve">RFC Security</t>
  </si>
  <si>
    <t xml:space="preserve">How many RFC destinations exist, and are any using stored/hardcoded credentials or trusted/trusting relationships?</t>
  </si>
  <si>
    <t xml:space="preserve">RFC hardening scoring input</t>
  </si>
  <si>
    <t xml:space="preserve">Gateway Security</t>
  </si>
  <si>
    <t xml:space="preserve">Has gateway security (secinfo/reginfo ACLs) been implemented and to what standard?</t>
  </si>
  <si>
    <t xml:space="preserve">Gateway hardening scoring input</t>
  </si>
  <si>
    <t xml:space="preserve">Audit &amp; Logging</t>
  </si>
  <si>
    <t xml:space="preserve">Is the Security Audit Log (SM19/RSAU) active in production, and what is the retention period?</t>
  </si>
  <si>
    <t xml:space="preserve">Audit maturity scoring input</t>
  </si>
  <si>
    <t xml:space="preserve">Are security logs forwarded to a central SIEM or monitored some other way?</t>
  </si>
  <si>
    <t xml:space="preserve">Monitoring maturity scoring input</t>
  </si>
  <si>
    <t xml:space="preserve">Transport Process</t>
  </si>
  <si>
    <t xml:space="preserve">What is the approval process for transporting security-relevant objects (roles, profiles, auth objects)?</t>
  </si>
  <si>
    <t xml:space="preserve">Change-control maturity input</t>
  </si>
  <si>
    <t xml:space="preserve">Fiori / Interfaces</t>
  </si>
  <si>
    <t xml:space="preserve">How many Fiori apps/OData services are exposed, and is there a service allowlist?</t>
  </si>
  <si>
    <t xml:space="preserve">Interface security scoring input</t>
  </si>
  <si>
    <t xml:space="preserve">Are third-party/middleware interfaces (SAP PI/PO, API Management, non-SAP) in scope for this review?</t>
  </si>
  <si>
    <t xml:space="preserve">Defines interface inventory and collector scope</t>
  </si>
  <si>
    <t xml:space="preserve">Integration Lead</t>
  </si>
  <si>
    <t xml:space="preserve">BTP / Cloud</t>
  </si>
  <si>
    <t xml:space="preserve">Is SAP BTP in use, and should it fall within the scope of this assessment?</t>
  </si>
  <si>
    <t xml:space="preserve">Scope boundary decision - BTP is out of scope for the current collector set unless confirmed</t>
  </si>
  <si>
    <t xml:space="preserve">Cloud Architect</t>
  </si>
  <si>
    <t xml:space="preserve">RISE / ECS</t>
  </si>
  <si>
    <t xml:space="preserve">What does the RISE customer responsibility matrix say for security-relevant parameters, RFC, and OS/DB access?</t>
  </si>
  <si>
    <t xml:space="preserve">Directly required to build the ECS-boundary flag correctly - do not proceed without this</t>
  </si>
  <si>
    <t xml:space="preserve">Contract Owner / Basis Lead</t>
  </si>
  <si>
    <t xml:space="preserve">Does the customer have direct OS/DB access, or is it fully managed by SAP ECS?</t>
  </si>
  <si>
    <t xml:space="preserve">Determines which collectors are technically feasible on this landscape</t>
  </si>
  <si>
    <t xml:space="preserve">Custom Developments</t>
  </si>
  <si>
    <t xml:space="preserve">Is there a custom authorization-check framework in Z-code (custom AUTHORITY-CHECK usage)?</t>
  </si>
  <si>
    <t xml:space="preserve">Custom-code security scoring input</t>
  </si>
  <si>
    <t xml:space="preserve">Development Lead</t>
  </si>
  <si>
    <t xml:space="preserve">Are there custom RFC-enabled function modules that bypass standard authorization checks?</t>
  </si>
  <si>
    <t xml:space="preserve">Critical for RFC hardening completeness</t>
  </si>
  <si>
    <t xml:space="preserve">Compliance</t>
  </si>
  <si>
    <t xml:space="preserve">What regulatory or compliance frameworks apply (SOX, GDPR, industry-specific mandates)?</t>
  </si>
  <si>
    <t xml:space="preserve">Adjusts scoring weights and report framing</t>
  </si>
  <si>
    <t xml:space="preserve">Compliance Officer</t>
  </si>
  <si>
    <t xml:space="preserve">Are there prior audit findings (internal/external) related to SAP security to factor in?</t>
  </si>
  <si>
    <t xml:space="preserve">Avoids duplicating known findings; strengthens report credibility</t>
  </si>
  <si>
    <t xml:space="preserve">Future Roadmap</t>
  </si>
  <si>
    <t xml:space="preserve">What is the planned go-live date for the S/4 transformation?</t>
  </si>
  <si>
    <t xml:space="preserve">Determines urgency and sequencing of the remediation roadmap</t>
  </si>
  <si>
    <t xml:space="preserve">Are there plans to adopt SAP GRC, expand Fiori, or move toward Zero Trust network access post go-live?</t>
  </si>
  <si>
    <t xml:space="preserve">Ensures the roadmap aligns with where the landscape is heading, not just where it is today</t>
  </si>
  <si>
    <t xml:space="preserve">Low</t>
  </si>
  <si>
    <t xml:space="preserve">Summary Dashboard</t>
  </si>
  <si>
    <t xml:space="preserve">Auto-calculated from the other sheets. Nothing to fill in here - just update Status/Owner cells on the other tabs.</t>
  </si>
  <si>
    <t xml:space="preserve">Workload by Owner - Daily Task Tracker</t>
  </si>
  <si>
    <t xml:space="preserve">Subtasks Assigned</t>
  </si>
  <si>
    <t xml:space="preserve">Total Est. Hours</t>
  </si>
  <si>
    <t xml:space="preserve">Completed</t>
  </si>
  <si>
    <t xml:space="preserve">% Complete</t>
  </si>
  <si>
    <t xml:space="preserve">Total</t>
  </si>
  <si>
    <t xml:space="preserve">Progress by Phase - Daily Task Tracker</t>
  </si>
  <si>
    <t xml:space="preserve">Subtasks</t>
  </si>
  <si>
    <t xml:space="preserve">Overall Completion by Sheet</t>
  </si>
  <si>
    <t xml:space="preserve">Sheet</t>
  </si>
  <si>
    <t xml:space="preserve">Total Items</t>
  </si>
  <si>
    <t xml:space="preserve">Complete</t>
  </si>
  <si>
    <t xml:space="preserve">Daily Task Tracker (subtasks)</t>
  </si>
  <si>
    <t xml:space="preserve">Prerequisite Checklist</t>
  </si>
  <si>
    <t xml:space="preserve">SME Questionnaire (answered = Answer/Notes filled)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</si>
</sst>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55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4"/>
    </row>
    <row r="7" customFormat="false" ht="15" hidden="false" customHeight="true" outlineLevel="0" collapsed="false">
      <c r="B7" s="4" t="s">
        <v>4</v>
      </c>
      <c r="C7" s="4"/>
    </row>
    <row r="8" customFormat="false" ht="15" hidden="false" customHeight="true" outlineLevel="0" collapsed="false">
      <c r="B8" s="4" t="s">
        <v>5</v>
      </c>
      <c r="C8" s="4"/>
    </row>
    <row r="9" customFormat="false" ht="15" hidden="false" customHeight="true" outlineLevel="0" collapsed="false">
      <c r="B9" s="4" t="s">
        <v>6</v>
      </c>
      <c r="C9" s="4"/>
    </row>
    <row r="10" customFormat="false" ht="23.85" hidden="false" customHeight="true" outlineLevel="0" collapsed="false">
      <c r="B10" s="4" t="s">
        <v>7</v>
      </c>
      <c r="C10" s="4"/>
    </row>
    <row r="11" customFormat="false" ht="15" hidden="false" customHeight="true" outlineLevel="0" collapsed="false">
      <c r="B11" s="4" t="s">
        <v>8</v>
      </c>
      <c r="C11" s="4"/>
    </row>
    <row r="13" customFormat="false" ht="15" hidden="false" customHeight="false" outlineLevel="0" collapsed="false">
      <c r="B13" s="3" t="s">
        <v>9</v>
      </c>
      <c r="C13" s="5" t="n">
        <v>46216</v>
      </c>
    </row>
    <row r="15" customFormat="false" ht="15" hidden="false" customHeight="false" outlineLevel="0" collapsed="false">
      <c r="B15" s="3" t="s">
        <v>10</v>
      </c>
    </row>
    <row r="16" customFormat="false" ht="35.05" hidden="false" customHeight="true" outlineLevel="0" collapsed="false">
      <c r="B16" s="4" t="s">
        <v>11</v>
      </c>
      <c r="C16" s="4"/>
    </row>
    <row r="18" customFormat="false" ht="15" hidden="false" customHeight="false" outlineLevel="0" collapsed="false">
      <c r="B18" s="6" t="s">
        <v>12</v>
      </c>
      <c r="C18" s="6" t="s">
        <v>13</v>
      </c>
      <c r="D18" s="6" t="s">
        <v>14</v>
      </c>
    </row>
    <row r="19" customFormat="false" ht="23.85" hidden="false" customHeight="false" outlineLevel="0" collapsed="false">
      <c r="B19" s="7" t="s">
        <v>15</v>
      </c>
      <c r="C19" s="7" t="s">
        <v>16</v>
      </c>
      <c r="D19" s="7" t="s">
        <v>17</v>
      </c>
    </row>
    <row r="20" customFormat="false" ht="23.85" hidden="false" customHeight="false" outlineLevel="0" collapsed="false">
      <c r="B20" s="7" t="s">
        <v>18</v>
      </c>
      <c r="C20" s="7" t="s">
        <v>19</v>
      </c>
      <c r="D20" s="7" t="s">
        <v>20</v>
      </c>
    </row>
    <row r="21" customFormat="false" ht="23.85" hidden="false" customHeight="false" outlineLevel="0" collapsed="false">
      <c r="B21" s="7" t="s">
        <v>21</v>
      </c>
      <c r="C21" s="7" t="s">
        <v>22</v>
      </c>
      <c r="D21" s="7" t="s">
        <v>23</v>
      </c>
    </row>
    <row r="22" customFormat="false" ht="23.85" hidden="false" customHeight="false" outlineLevel="0" collapsed="false">
      <c r="B22" s="7" t="s">
        <v>24</v>
      </c>
      <c r="C22" s="7" t="s">
        <v>25</v>
      </c>
      <c r="D22" s="7" t="s">
        <v>26</v>
      </c>
    </row>
    <row r="24" customFormat="false" ht="15" hidden="false" customHeight="false" outlineLevel="0" collapsed="false">
      <c r="B24" s="3" t="s">
        <v>27</v>
      </c>
    </row>
    <row r="25" customFormat="false" ht="35.05" hidden="false" customHeight="true" outlineLevel="0" collapsed="false">
      <c r="B25" s="4" t="s">
        <v>28</v>
      </c>
      <c r="C25" s="4"/>
    </row>
  </sheetData>
  <mergeCells count="10">
    <mergeCell ref="B2:C2"/>
    <mergeCell ref="B3:C3"/>
    <mergeCell ref="B6:C6"/>
    <mergeCell ref="B7:C7"/>
    <mergeCell ref="B8:C8"/>
    <mergeCell ref="B9:C9"/>
    <mergeCell ref="B10:C10"/>
    <mergeCell ref="B11:C11"/>
    <mergeCell ref="B16:C16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30"/>
    <col collapsed="false" customWidth="true" hidden="false" outlineLevel="0" max="12" min="12" style="0" width="26"/>
  </cols>
  <sheetData>
    <row r="1" customFormat="false" ht="26.85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</row>
    <row r="2" customFormat="false" ht="23.85" hidden="false" customHeight="false" outlineLevel="0" collapsed="false">
      <c r="A2" s="7" t="n">
        <v>1</v>
      </c>
      <c r="B2" s="9" t="n">
        <f aca="false">WORKDAY(README!$C$13-1,A2)</f>
        <v>46216</v>
      </c>
      <c r="C2" s="7" t="n">
        <v>1</v>
      </c>
      <c r="D2" s="7" t="s">
        <v>41</v>
      </c>
      <c r="E2" s="7" t="s">
        <v>42</v>
      </c>
      <c r="F2" s="7" t="s">
        <v>43</v>
      </c>
      <c r="G2" s="7" t="s">
        <v>15</v>
      </c>
      <c r="H2" s="7" t="n">
        <v>2</v>
      </c>
      <c r="I2" s="7" t="s">
        <v>44</v>
      </c>
      <c r="J2" s="7" t="s">
        <v>45</v>
      </c>
      <c r="K2" s="7" t="s">
        <v>46</v>
      </c>
      <c r="L2" s="7" t="s">
        <v>47</v>
      </c>
    </row>
    <row r="3" customFormat="false" ht="23.85" hidden="false" customHeight="false" outlineLevel="0" collapsed="false">
      <c r="A3" s="10" t="n">
        <v>1</v>
      </c>
      <c r="B3" s="11" t="n">
        <f aca="false">WORKDAY(README!$C$13-1,A3)</f>
        <v>46216</v>
      </c>
      <c r="C3" s="10" t="n">
        <v>1</v>
      </c>
      <c r="D3" s="10" t="s">
        <v>41</v>
      </c>
      <c r="E3" s="10" t="s">
        <v>42</v>
      </c>
      <c r="F3" s="10" t="s">
        <v>48</v>
      </c>
      <c r="G3" s="10" t="s">
        <v>15</v>
      </c>
      <c r="H3" s="10" t="n">
        <v>2</v>
      </c>
      <c r="I3" s="10" t="s">
        <v>44</v>
      </c>
      <c r="J3" s="10" t="s">
        <v>45</v>
      </c>
      <c r="K3" s="10" t="s">
        <v>49</v>
      </c>
      <c r="L3" s="10"/>
    </row>
    <row r="4" customFormat="false" ht="23.85" hidden="false" customHeight="false" outlineLevel="0" collapsed="false">
      <c r="A4" s="7" t="n">
        <v>1</v>
      </c>
      <c r="B4" s="9" t="n">
        <f aca="false">WORKDAY(README!$C$13-1,A4)</f>
        <v>46216</v>
      </c>
      <c r="C4" s="7" t="n">
        <v>1</v>
      </c>
      <c r="D4" s="7" t="s">
        <v>41</v>
      </c>
      <c r="E4" s="7" t="s">
        <v>42</v>
      </c>
      <c r="F4" s="7" t="s">
        <v>50</v>
      </c>
      <c r="G4" s="7" t="s">
        <v>18</v>
      </c>
      <c r="H4" s="7" t="n">
        <v>3</v>
      </c>
      <c r="I4" s="7" t="s">
        <v>44</v>
      </c>
      <c r="J4" s="7" t="s">
        <v>45</v>
      </c>
      <c r="K4" s="7" t="s">
        <v>51</v>
      </c>
      <c r="L4" s="7"/>
    </row>
    <row r="5" customFormat="false" ht="23.85" hidden="false" customHeight="false" outlineLevel="0" collapsed="false">
      <c r="A5" s="10" t="n">
        <v>1</v>
      </c>
      <c r="B5" s="11" t="n">
        <f aca="false">WORKDAY(README!$C$13-1,A5)</f>
        <v>46216</v>
      </c>
      <c r="C5" s="10" t="n">
        <v>1</v>
      </c>
      <c r="D5" s="10" t="s">
        <v>41</v>
      </c>
      <c r="E5" s="10" t="s">
        <v>42</v>
      </c>
      <c r="F5" s="10" t="s">
        <v>52</v>
      </c>
      <c r="G5" s="10" t="s">
        <v>24</v>
      </c>
      <c r="H5" s="10" t="n">
        <v>2</v>
      </c>
      <c r="I5" s="10" t="s">
        <v>44</v>
      </c>
      <c r="J5" s="10" t="s">
        <v>45</v>
      </c>
      <c r="K5" s="10" t="s">
        <v>53</v>
      </c>
      <c r="L5" s="10" t="s">
        <v>54</v>
      </c>
    </row>
    <row r="6" customFormat="false" ht="23.85" hidden="false" customHeight="false" outlineLevel="0" collapsed="false">
      <c r="A6" s="7" t="n">
        <v>2</v>
      </c>
      <c r="B6" s="9" t="n">
        <f aca="false">WORKDAY(README!$C$13-1,A6)</f>
        <v>46217</v>
      </c>
      <c r="C6" s="7" t="n">
        <v>1</v>
      </c>
      <c r="D6" s="7" t="s">
        <v>41</v>
      </c>
      <c r="E6" s="7" t="s">
        <v>55</v>
      </c>
      <c r="F6" s="7" t="s">
        <v>56</v>
      </c>
      <c r="G6" s="7" t="s">
        <v>15</v>
      </c>
      <c r="H6" s="7" t="n">
        <v>2</v>
      </c>
      <c r="I6" s="7" t="s">
        <v>44</v>
      </c>
      <c r="J6" s="7" t="s">
        <v>57</v>
      </c>
      <c r="K6" s="7" t="s">
        <v>58</v>
      </c>
      <c r="L6" s="7"/>
    </row>
    <row r="7" customFormat="false" ht="23.85" hidden="false" customHeight="false" outlineLevel="0" collapsed="false">
      <c r="A7" s="10" t="n">
        <v>2</v>
      </c>
      <c r="B7" s="11" t="n">
        <f aca="false">WORKDAY(README!$C$13-1,A7)</f>
        <v>46217</v>
      </c>
      <c r="C7" s="10" t="n">
        <v>1</v>
      </c>
      <c r="D7" s="10" t="s">
        <v>41</v>
      </c>
      <c r="E7" s="10" t="s">
        <v>55</v>
      </c>
      <c r="F7" s="10" t="s">
        <v>59</v>
      </c>
      <c r="G7" s="10" t="s">
        <v>15</v>
      </c>
      <c r="H7" s="10" t="n">
        <v>3</v>
      </c>
      <c r="I7" s="10" t="s">
        <v>44</v>
      </c>
      <c r="J7" s="10" t="s">
        <v>45</v>
      </c>
      <c r="K7" s="10" t="s">
        <v>60</v>
      </c>
      <c r="L7" s="10" t="s">
        <v>61</v>
      </c>
    </row>
    <row r="8" customFormat="false" ht="23.85" hidden="false" customHeight="false" outlineLevel="0" collapsed="false">
      <c r="A8" s="7" t="n">
        <v>2</v>
      </c>
      <c r="B8" s="9" t="n">
        <f aca="false">WORKDAY(README!$C$13-1,A8)</f>
        <v>46217</v>
      </c>
      <c r="C8" s="7" t="n">
        <v>1</v>
      </c>
      <c r="D8" s="7" t="s">
        <v>41</v>
      </c>
      <c r="E8" s="7" t="s">
        <v>55</v>
      </c>
      <c r="F8" s="7" t="s">
        <v>62</v>
      </c>
      <c r="G8" s="7" t="s">
        <v>18</v>
      </c>
      <c r="H8" s="7" t="n">
        <v>4</v>
      </c>
      <c r="I8" s="7" t="s">
        <v>44</v>
      </c>
      <c r="J8" s="7" t="s">
        <v>63</v>
      </c>
      <c r="K8" s="7" t="s">
        <v>64</v>
      </c>
      <c r="L8" s="7"/>
    </row>
    <row r="9" customFormat="false" ht="23.85" hidden="false" customHeight="false" outlineLevel="0" collapsed="false">
      <c r="A9" s="10" t="n">
        <v>2</v>
      </c>
      <c r="B9" s="11" t="n">
        <f aca="false">WORKDAY(README!$C$13-1,A9)</f>
        <v>46217</v>
      </c>
      <c r="C9" s="10" t="n">
        <v>1</v>
      </c>
      <c r="D9" s="10" t="s">
        <v>41</v>
      </c>
      <c r="E9" s="10" t="s">
        <v>55</v>
      </c>
      <c r="F9" s="10" t="s">
        <v>65</v>
      </c>
      <c r="G9" s="10" t="s">
        <v>24</v>
      </c>
      <c r="H9" s="10" t="n">
        <v>1</v>
      </c>
      <c r="I9" s="10" t="s">
        <v>44</v>
      </c>
      <c r="J9" s="10" t="s">
        <v>53</v>
      </c>
      <c r="K9" s="10" t="s">
        <v>66</v>
      </c>
      <c r="L9" s="10"/>
    </row>
    <row r="10" customFormat="false" ht="23.85" hidden="false" customHeight="false" outlineLevel="0" collapsed="false">
      <c r="A10" s="7" t="n">
        <v>3</v>
      </c>
      <c r="B10" s="9" t="n">
        <f aca="false">WORKDAY(README!$C$13-1,A10)</f>
        <v>46218</v>
      </c>
      <c r="C10" s="7" t="n">
        <v>1</v>
      </c>
      <c r="D10" s="7" t="s">
        <v>41</v>
      </c>
      <c r="E10" s="7" t="s">
        <v>67</v>
      </c>
      <c r="F10" s="7" t="s">
        <v>68</v>
      </c>
      <c r="G10" s="7" t="s">
        <v>15</v>
      </c>
      <c r="H10" s="7" t="n">
        <v>2</v>
      </c>
      <c r="I10" s="7" t="s">
        <v>44</v>
      </c>
      <c r="J10" s="7" t="s">
        <v>69</v>
      </c>
      <c r="K10" s="7" t="s">
        <v>70</v>
      </c>
      <c r="L10" s="7" t="s">
        <v>71</v>
      </c>
    </row>
    <row r="11" customFormat="false" ht="23.85" hidden="false" customHeight="false" outlineLevel="0" collapsed="false">
      <c r="A11" s="10" t="n">
        <v>3</v>
      </c>
      <c r="B11" s="11" t="n">
        <f aca="false">WORKDAY(README!$C$13-1,A11)</f>
        <v>46218</v>
      </c>
      <c r="C11" s="10" t="n">
        <v>1</v>
      </c>
      <c r="D11" s="10" t="s">
        <v>41</v>
      </c>
      <c r="E11" s="10" t="s">
        <v>67</v>
      </c>
      <c r="F11" s="10" t="s">
        <v>72</v>
      </c>
      <c r="G11" s="10" t="s">
        <v>18</v>
      </c>
      <c r="H11" s="10" t="n">
        <v>3</v>
      </c>
      <c r="I11" s="10" t="s">
        <v>44</v>
      </c>
      <c r="J11" s="10" t="s">
        <v>45</v>
      </c>
      <c r="K11" s="10" t="s">
        <v>73</v>
      </c>
      <c r="L11" s="10"/>
    </row>
    <row r="12" customFormat="false" ht="23.85" hidden="false" customHeight="false" outlineLevel="0" collapsed="false">
      <c r="A12" s="7" t="n">
        <v>3</v>
      </c>
      <c r="B12" s="9" t="n">
        <f aca="false">WORKDAY(README!$C$13-1,A12)</f>
        <v>46218</v>
      </c>
      <c r="C12" s="7" t="n">
        <v>1</v>
      </c>
      <c r="D12" s="7" t="s">
        <v>41</v>
      </c>
      <c r="E12" s="7" t="s">
        <v>67</v>
      </c>
      <c r="F12" s="7" t="s">
        <v>74</v>
      </c>
      <c r="G12" s="7" t="s">
        <v>15</v>
      </c>
      <c r="H12" s="7" t="n">
        <v>2</v>
      </c>
      <c r="I12" s="7" t="s">
        <v>44</v>
      </c>
      <c r="J12" s="7" t="s">
        <v>60</v>
      </c>
      <c r="K12" s="7" t="s">
        <v>75</v>
      </c>
      <c r="L12" s="7" t="s">
        <v>76</v>
      </c>
    </row>
    <row r="13" customFormat="false" ht="23.85" hidden="false" customHeight="false" outlineLevel="0" collapsed="false">
      <c r="A13" s="10" t="n">
        <v>3</v>
      </c>
      <c r="B13" s="11" t="n">
        <f aca="false">WORKDAY(README!$C$13-1,A13)</f>
        <v>46218</v>
      </c>
      <c r="C13" s="10" t="n">
        <v>1</v>
      </c>
      <c r="D13" s="10" t="s">
        <v>41</v>
      </c>
      <c r="E13" s="10" t="s">
        <v>67</v>
      </c>
      <c r="F13" s="10" t="s">
        <v>77</v>
      </c>
      <c r="G13" s="10" t="s">
        <v>18</v>
      </c>
      <c r="H13" s="10" t="n">
        <v>2</v>
      </c>
      <c r="I13" s="10" t="s">
        <v>44</v>
      </c>
      <c r="J13" s="10" t="s">
        <v>73</v>
      </c>
      <c r="K13" s="10" t="s">
        <v>78</v>
      </c>
      <c r="L13" s="10" t="s">
        <v>79</v>
      </c>
    </row>
    <row r="14" customFormat="false" ht="23.85" hidden="false" customHeight="false" outlineLevel="0" collapsed="false">
      <c r="A14" s="7" t="n">
        <v>4</v>
      </c>
      <c r="B14" s="9" t="n">
        <f aca="false">WORKDAY(README!$C$13-1,A14)</f>
        <v>46219</v>
      </c>
      <c r="C14" s="7" t="n">
        <v>1</v>
      </c>
      <c r="D14" s="7" t="s">
        <v>41</v>
      </c>
      <c r="E14" s="7" t="s">
        <v>80</v>
      </c>
      <c r="F14" s="7" t="s">
        <v>81</v>
      </c>
      <c r="G14" s="7" t="s">
        <v>15</v>
      </c>
      <c r="H14" s="7" t="n">
        <v>2</v>
      </c>
      <c r="I14" s="7" t="s">
        <v>44</v>
      </c>
      <c r="J14" s="7" t="s">
        <v>82</v>
      </c>
      <c r="K14" s="7" t="s">
        <v>83</v>
      </c>
      <c r="L14" s="7"/>
    </row>
    <row r="15" customFormat="false" ht="23.85" hidden="false" customHeight="false" outlineLevel="0" collapsed="false">
      <c r="A15" s="10" t="n">
        <v>4</v>
      </c>
      <c r="B15" s="11" t="n">
        <f aca="false">WORKDAY(README!$C$13-1,A15)</f>
        <v>46219</v>
      </c>
      <c r="C15" s="10" t="n">
        <v>1</v>
      </c>
      <c r="D15" s="10" t="s">
        <v>41</v>
      </c>
      <c r="E15" s="10" t="s">
        <v>80</v>
      </c>
      <c r="F15" s="10" t="s">
        <v>84</v>
      </c>
      <c r="G15" s="10" t="s">
        <v>18</v>
      </c>
      <c r="H15" s="10" t="n">
        <v>3</v>
      </c>
      <c r="I15" s="10" t="s">
        <v>44</v>
      </c>
      <c r="J15" s="10" t="s">
        <v>78</v>
      </c>
      <c r="K15" s="10" t="s">
        <v>85</v>
      </c>
      <c r="L15" s="10" t="s">
        <v>86</v>
      </c>
    </row>
    <row r="16" customFormat="false" ht="23.85" hidden="false" customHeight="false" outlineLevel="0" collapsed="false">
      <c r="A16" s="7" t="n">
        <v>4</v>
      </c>
      <c r="B16" s="9" t="n">
        <f aca="false">WORKDAY(README!$C$13-1,A16)</f>
        <v>46219</v>
      </c>
      <c r="C16" s="7" t="n">
        <v>1</v>
      </c>
      <c r="D16" s="7" t="s">
        <v>41</v>
      </c>
      <c r="E16" s="7" t="s">
        <v>80</v>
      </c>
      <c r="F16" s="7" t="s">
        <v>87</v>
      </c>
      <c r="G16" s="7" t="s">
        <v>24</v>
      </c>
      <c r="H16" s="7" t="n">
        <v>2</v>
      </c>
      <c r="I16" s="7" t="s">
        <v>44</v>
      </c>
      <c r="J16" s="7" t="s">
        <v>85</v>
      </c>
      <c r="K16" s="7" t="s">
        <v>88</v>
      </c>
      <c r="L16" s="7"/>
    </row>
    <row r="17" customFormat="false" ht="23.85" hidden="false" customHeight="false" outlineLevel="0" collapsed="false">
      <c r="A17" s="10" t="n">
        <v>4</v>
      </c>
      <c r="B17" s="11" t="n">
        <f aca="false">WORKDAY(README!$C$13-1,A17)</f>
        <v>46219</v>
      </c>
      <c r="C17" s="10" t="n">
        <v>1</v>
      </c>
      <c r="D17" s="10" t="s">
        <v>41</v>
      </c>
      <c r="E17" s="10" t="s">
        <v>80</v>
      </c>
      <c r="F17" s="10" t="s">
        <v>89</v>
      </c>
      <c r="G17" s="10" t="s">
        <v>15</v>
      </c>
      <c r="H17" s="10" t="n">
        <v>1</v>
      </c>
      <c r="I17" s="10" t="s">
        <v>44</v>
      </c>
      <c r="J17" s="10" t="s">
        <v>90</v>
      </c>
      <c r="K17" s="10" t="s">
        <v>91</v>
      </c>
      <c r="L17" s="10"/>
    </row>
    <row r="18" customFormat="false" ht="23.85" hidden="false" customHeight="false" outlineLevel="0" collapsed="false">
      <c r="A18" s="7" t="n">
        <v>5</v>
      </c>
      <c r="B18" s="9" t="n">
        <f aca="false">WORKDAY(README!$C$13-1,A18)</f>
        <v>46220</v>
      </c>
      <c r="C18" s="7" t="n">
        <v>1</v>
      </c>
      <c r="D18" s="7" t="s">
        <v>41</v>
      </c>
      <c r="E18" s="7" t="s">
        <v>92</v>
      </c>
      <c r="F18" s="7" t="s">
        <v>93</v>
      </c>
      <c r="G18" s="7" t="s">
        <v>15</v>
      </c>
      <c r="H18" s="7" t="n">
        <v>2</v>
      </c>
      <c r="I18" s="7" t="s">
        <v>44</v>
      </c>
      <c r="J18" s="7" t="s">
        <v>94</v>
      </c>
      <c r="K18" s="7" t="s">
        <v>95</v>
      </c>
      <c r="L18" s="7"/>
    </row>
    <row r="19" customFormat="false" ht="23.85" hidden="false" customHeight="false" outlineLevel="0" collapsed="false">
      <c r="A19" s="10" t="n">
        <v>5</v>
      </c>
      <c r="B19" s="11" t="n">
        <f aca="false">WORKDAY(README!$C$13-1,A19)</f>
        <v>46220</v>
      </c>
      <c r="C19" s="10" t="n">
        <v>1</v>
      </c>
      <c r="D19" s="10" t="s">
        <v>41</v>
      </c>
      <c r="E19" s="10" t="s">
        <v>92</v>
      </c>
      <c r="F19" s="10" t="s">
        <v>96</v>
      </c>
      <c r="G19" s="10" t="s">
        <v>18</v>
      </c>
      <c r="H19" s="10" t="n">
        <v>3</v>
      </c>
      <c r="I19" s="10" t="s">
        <v>44</v>
      </c>
      <c r="J19" s="10" t="s">
        <v>85</v>
      </c>
      <c r="K19" s="10" t="s">
        <v>97</v>
      </c>
      <c r="L19" s="10"/>
    </row>
    <row r="20" customFormat="false" ht="23.85" hidden="false" customHeight="false" outlineLevel="0" collapsed="false">
      <c r="A20" s="7" t="n">
        <v>5</v>
      </c>
      <c r="B20" s="9" t="n">
        <f aca="false">WORKDAY(README!$C$13-1,A20)</f>
        <v>46220</v>
      </c>
      <c r="C20" s="7" t="n">
        <v>1</v>
      </c>
      <c r="D20" s="7" t="s">
        <v>41</v>
      </c>
      <c r="E20" s="7" t="s">
        <v>92</v>
      </c>
      <c r="F20" s="7" t="s">
        <v>98</v>
      </c>
      <c r="G20" s="7" t="s">
        <v>15</v>
      </c>
      <c r="H20" s="7" t="n">
        <v>2</v>
      </c>
      <c r="I20" s="7" t="s">
        <v>44</v>
      </c>
      <c r="J20" s="7" t="s">
        <v>58</v>
      </c>
      <c r="K20" s="7" t="s">
        <v>99</v>
      </c>
      <c r="L20" s="7"/>
    </row>
    <row r="21" customFormat="false" ht="23.85" hidden="false" customHeight="false" outlineLevel="0" collapsed="false">
      <c r="A21" s="10" t="n">
        <v>5</v>
      </c>
      <c r="B21" s="11" t="n">
        <f aca="false">WORKDAY(README!$C$13-1,A21)</f>
        <v>46220</v>
      </c>
      <c r="C21" s="10" t="n">
        <v>1</v>
      </c>
      <c r="D21" s="10" t="s">
        <v>41</v>
      </c>
      <c r="E21" s="10" t="s">
        <v>92</v>
      </c>
      <c r="F21" s="10" t="s">
        <v>100</v>
      </c>
      <c r="G21" s="10" t="s">
        <v>15</v>
      </c>
      <c r="H21" s="10" t="n">
        <v>1</v>
      </c>
      <c r="I21" s="10" t="s">
        <v>44</v>
      </c>
      <c r="J21" s="10" t="s">
        <v>45</v>
      </c>
      <c r="K21" s="10" t="s">
        <v>101</v>
      </c>
      <c r="L21" s="10" t="s">
        <v>47</v>
      </c>
    </row>
    <row r="22" customFormat="false" ht="23.85" hidden="false" customHeight="false" outlineLevel="0" collapsed="false">
      <c r="A22" s="7" t="n">
        <v>6</v>
      </c>
      <c r="B22" s="9" t="n">
        <f aca="false">WORKDAY(README!$C$13-1,A22)</f>
        <v>46223</v>
      </c>
      <c r="C22" s="7" t="n">
        <v>2</v>
      </c>
      <c r="D22" s="7" t="s">
        <v>102</v>
      </c>
      <c r="E22" s="7" t="s">
        <v>103</v>
      </c>
      <c r="F22" s="7" t="s">
        <v>104</v>
      </c>
      <c r="G22" s="7" t="s">
        <v>18</v>
      </c>
      <c r="H22" s="7" t="n">
        <v>4</v>
      </c>
      <c r="I22" s="7" t="s">
        <v>44</v>
      </c>
      <c r="J22" s="7" t="s">
        <v>73</v>
      </c>
      <c r="K22" s="7" t="s">
        <v>105</v>
      </c>
      <c r="L22" s="7"/>
    </row>
    <row r="23" customFormat="false" ht="23.85" hidden="false" customHeight="false" outlineLevel="0" collapsed="false">
      <c r="A23" s="10" t="n">
        <v>6</v>
      </c>
      <c r="B23" s="11" t="n">
        <f aca="false">WORKDAY(README!$C$13-1,A23)</f>
        <v>46223</v>
      </c>
      <c r="C23" s="10" t="n">
        <v>2</v>
      </c>
      <c r="D23" s="10" t="s">
        <v>102</v>
      </c>
      <c r="E23" s="10" t="s">
        <v>103</v>
      </c>
      <c r="F23" s="10" t="s">
        <v>106</v>
      </c>
      <c r="G23" s="10" t="s">
        <v>15</v>
      </c>
      <c r="H23" s="10" t="n">
        <v>3</v>
      </c>
      <c r="I23" s="10" t="s">
        <v>44</v>
      </c>
      <c r="J23" s="10" t="s">
        <v>105</v>
      </c>
      <c r="K23" s="10" t="s">
        <v>107</v>
      </c>
      <c r="L23" s="10"/>
    </row>
    <row r="24" customFormat="false" ht="23.85" hidden="false" customHeight="false" outlineLevel="0" collapsed="false">
      <c r="A24" s="7" t="n">
        <v>6</v>
      </c>
      <c r="B24" s="9" t="n">
        <f aca="false">WORKDAY(README!$C$13-1,A24)</f>
        <v>46223</v>
      </c>
      <c r="C24" s="7" t="n">
        <v>2</v>
      </c>
      <c r="D24" s="7" t="s">
        <v>102</v>
      </c>
      <c r="E24" s="7" t="s">
        <v>103</v>
      </c>
      <c r="F24" s="7" t="s">
        <v>108</v>
      </c>
      <c r="G24" s="7" t="s">
        <v>15</v>
      </c>
      <c r="H24" s="7" t="n">
        <v>3</v>
      </c>
      <c r="I24" s="7" t="s">
        <v>44</v>
      </c>
      <c r="J24" s="7" t="s">
        <v>107</v>
      </c>
      <c r="K24" s="7" t="s">
        <v>109</v>
      </c>
      <c r="L24" s="7" t="s">
        <v>110</v>
      </c>
    </row>
    <row r="25" customFormat="false" ht="23.85" hidden="false" customHeight="false" outlineLevel="0" collapsed="false">
      <c r="A25" s="10" t="n">
        <v>6</v>
      </c>
      <c r="B25" s="11" t="n">
        <f aca="false">WORKDAY(README!$C$13-1,A25)</f>
        <v>46223</v>
      </c>
      <c r="C25" s="10" t="n">
        <v>2</v>
      </c>
      <c r="D25" s="10" t="s">
        <v>102</v>
      </c>
      <c r="E25" s="10" t="s">
        <v>103</v>
      </c>
      <c r="F25" s="10" t="s">
        <v>111</v>
      </c>
      <c r="G25" s="10" t="s">
        <v>15</v>
      </c>
      <c r="H25" s="10" t="n">
        <v>2</v>
      </c>
      <c r="I25" s="10" t="s">
        <v>44</v>
      </c>
      <c r="J25" s="10" t="s">
        <v>75</v>
      </c>
      <c r="K25" s="10" t="s">
        <v>112</v>
      </c>
      <c r="L25" s="10" t="s">
        <v>113</v>
      </c>
    </row>
    <row r="26" customFormat="false" ht="23.85" hidden="false" customHeight="false" outlineLevel="0" collapsed="false">
      <c r="A26" s="7" t="n">
        <v>7</v>
      </c>
      <c r="B26" s="9" t="n">
        <f aca="false">WORKDAY(README!$C$13-1,A26)</f>
        <v>46224</v>
      </c>
      <c r="C26" s="7" t="n">
        <v>2</v>
      </c>
      <c r="D26" s="7" t="s">
        <v>102</v>
      </c>
      <c r="E26" s="7" t="s">
        <v>114</v>
      </c>
      <c r="F26" s="7" t="s">
        <v>115</v>
      </c>
      <c r="G26" s="7" t="s">
        <v>15</v>
      </c>
      <c r="H26" s="7" t="n">
        <v>3</v>
      </c>
      <c r="I26" s="7" t="s">
        <v>44</v>
      </c>
      <c r="J26" s="7" t="s">
        <v>107</v>
      </c>
      <c r="K26" s="7" t="s">
        <v>116</v>
      </c>
      <c r="L26" s="7"/>
    </row>
    <row r="27" customFormat="false" ht="23.85" hidden="false" customHeight="false" outlineLevel="0" collapsed="false">
      <c r="A27" s="10" t="n">
        <v>7</v>
      </c>
      <c r="B27" s="11" t="n">
        <f aca="false">WORKDAY(README!$C$13-1,A27)</f>
        <v>46224</v>
      </c>
      <c r="C27" s="10" t="n">
        <v>2</v>
      </c>
      <c r="D27" s="10" t="s">
        <v>102</v>
      </c>
      <c r="E27" s="10" t="s">
        <v>114</v>
      </c>
      <c r="F27" s="10" t="s">
        <v>117</v>
      </c>
      <c r="G27" s="10" t="s">
        <v>18</v>
      </c>
      <c r="H27" s="10" t="n">
        <v>3</v>
      </c>
      <c r="I27" s="10" t="s">
        <v>44</v>
      </c>
      <c r="J27" s="10" t="s">
        <v>116</v>
      </c>
      <c r="K27" s="10" t="s">
        <v>118</v>
      </c>
      <c r="L27" s="10"/>
    </row>
    <row r="28" customFormat="false" ht="23.85" hidden="false" customHeight="false" outlineLevel="0" collapsed="false">
      <c r="A28" s="7" t="n">
        <v>7</v>
      </c>
      <c r="B28" s="9" t="n">
        <f aca="false">WORKDAY(README!$C$13-1,A28)</f>
        <v>46224</v>
      </c>
      <c r="C28" s="7" t="n">
        <v>2</v>
      </c>
      <c r="D28" s="7" t="s">
        <v>102</v>
      </c>
      <c r="E28" s="7" t="s">
        <v>114</v>
      </c>
      <c r="F28" s="7" t="s">
        <v>119</v>
      </c>
      <c r="G28" s="7" t="s">
        <v>15</v>
      </c>
      <c r="H28" s="7" t="n">
        <v>3</v>
      </c>
      <c r="I28" s="7" t="s">
        <v>44</v>
      </c>
      <c r="J28" s="7" t="s">
        <v>116</v>
      </c>
      <c r="K28" s="7" t="s">
        <v>120</v>
      </c>
      <c r="L28" s="7"/>
    </row>
    <row r="29" customFormat="false" ht="23.85" hidden="false" customHeight="false" outlineLevel="0" collapsed="false">
      <c r="A29" s="10" t="n">
        <v>7</v>
      </c>
      <c r="B29" s="11" t="n">
        <f aca="false">WORKDAY(README!$C$13-1,A29)</f>
        <v>46224</v>
      </c>
      <c r="C29" s="10" t="n">
        <v>2</v>
      </c>
      <c r="D29" s="10" t="s">
        <v>102</v>
      </c>
      <c r="E29" s="10" t="s">
        <v>114</v>
      </c>
      <c r="F29" s="10" t="s">
        <v>121</v>
      </c>
      <c r="G29" s="10" t="s">
        <v>21</v>
      </c>
      <c r="H29" s="10" t="n">
        <v>2</v>
      </c>
      <c r="I29" s="10" t="s">
        <v>44</v>
      </c>
      <c r="J29" s="10" t="s">
        <v>116</v>
      </c>
      <c r="K29" s="10" t="s">
        <v>122</v>
      </c>
      <c r="L29" s="10" t="s">
        <v>123</v>
      </c>
    </row>
    <row r="30" customFormat="false" ht="23.85" hidden="false" customHeight="false" outlineLevel="0" collapsed="false">
      <c r="A30" s="7" t="n">
        <v>8</v>
      </c>
      <c r="B30" s="9" t="n">
        <f aca="false">WORKDAY(README!$C$13-1,A30)</f>
        <v>46225</v>
      </c>
      <c r="C30" s="7" t="n">
        <v>2</v>
      </c>
      <c r="D30" s="7" t="s">
        <v>102</v>
      </c>
      <c r="E30" s="7" t="s">
        <v>124</v>
      </c>
      <c r="F30" s="7" t="s">
        <v>125</v>
      </c>
      <c r="G30" s="7" t="s">
        <v>18</v>
      </c>
      <c r="H30" s="7" t="n">
        <v>3</v>
      </c>
      <c r="I30" s="7" t="s">
        <v>44</v>
      </c>
      <c r="J30" s="7" t="s">
        <v>78</v>
      </c>
      <c r="K30" s="7" t="s">
        <v>126</v>
      </c>
      <c r="L30" s="7"/>
    </row>
    <row r="31" customFormat="false" ht="23.85" hidden="false" customHeight="false" outlineLevel="0" collapsed="false">
      <c r="A31" s="10" t="n">
        <v>8</v>
      </c>
      <c r="B31" s="11" t="n">
        <f aca="false">WORKDAY(README!$C$13-1,A31)</f>
        <v>46225</v>
      </c>
      <c r="C31" s="10" t="n">
        <v>2</v>
      </c>
      <c r="D31" s="10" t="s">
        <v>102</v>
      </c>
      <c r="E31" s="10" t="s">
        <v>124</v>
      </c>
      <c r="F31" s="10" t="s">
        <v>127</v>
      </c>
      <c r="G31" s="10" t="s">
        <v>21</v>
      </c>
      <c r="H31" s="10" t="n">
        <v>2</v>
      </c>
      <c r="I31" s="10" t="s">
        <v>44</v>
      </c>
      <c r="J31" s="10" t="s">
        <v>126</v>
      </c>
      <c r="K31" s="10" t="s">
        <v>128</v>
      </c>
      <c r="L31" s="10" t="s">
        <v>129</v>
      </c>
    </row>
    <row r="32" customFormat="false" ht="23.85" hidden="false" customHeight="false" outlineLevel="0" collapsed="false">
      <c r="A32" s="7" t="n">
        <v>8</v>
      </c>
      <c r="B32" s="9" t="n">
        <f aca="false">WORKDAY(README!$C$13-1,A32)</f>
        <v>46225</v>
      </c>
      <c r="C32" s="7" t="n">
        <v>2</v>
      </c>
      <c r="D32" s="7" t="s">
        <v>102</v>
      </c>
      <c r="E32" s="7" t="s">
        <v>124</v>
      </c>
      <c r="F32" s="7" t="s">
        <v>130</v>
      </c>
      <c r="G32" s="7" t="s">
        <v>15</v>
      </c>
      <c r="H32" s="7" t="n">
        <v>3</v>
      </c>
      <c r="I32" s="7" t="s">
        <v>44</v>
      </c>
      <c r="J32" s="7" t="s">
        <v>126</v>
      </c>
      <c r="K32" s="7" t="s">
        <v>131</v>
      </c>
      <c r="L32" s="7"/>
    </row>
    <row r="33" customFormat="false" ht="23.85" hidden="false" customHeight="false" outlineLevel="0" collapsed="false">
      <c r="A33" s="10" t="n">
        <v>8</v>
      </c>
      <c r="B33" s="11" t="n">
        <f aca="false">WORKDAY(README!$C$13-1,A33)</f>
        <v>46225</v>
      </c>
      <c r="C33" s="10" t="n">
        <v>2</v>
      </c>
      <c r="D33" s="10" t="s">
        <v>102</v>
      </c>
      <c r="E33" s="10" t="s">
        <v>124</v>
      </c>
      <c r="F33" s="10" t="s">
        <v>132</v>
      </c>
      <c r="G33" s="10" t="s">
        <v>18</v>
      </c>
      <c r="H33" s="10" t="n">
        <v>2</v>
      </c>
      <c r="I33" s="10" t="s">
        <v>44</v>
      </c>
      <c r="J33" s="10" t="s">
        <v>131</v>
      </c>
      <c r="K33" s="10" t="s">
        <v>133</v>
      </c>
      <c r="L33" s="10"/>
    </row>
    <row r="34" customFormat="false" ht="23.85" hidden="false" customHeight="false" outlineLevel="0" collapsed="false">
      <c r="A34" s="7" t="n">
        <v>9</v>
      </c>
      <c r="B34" s="9" t="n">
        <f aca="false">WORKDAY(README!$C$13-1,A34)</f>
        <v>46226</v>
      </c>
      <c r="C34" s="7" t="n">
        <v>2</v>
      </c>
      <c r="D34" s="7" t="s">
        <v>102</v>
      </c>
      <c r="E34" s="7" t="s">
        <v>134</v>
      </c>
      <c r="F34" s="7" t="s">
        <v>135</v>
      </c>
      <c r="G34" s="7" t="s">
        <v>15</v>
      </c>
      <c r="H34" s="7" t="n">
        <v>3</v>
      </c>
      <c r="I34" s="7" t="s">
        <v>44</v>
      </c>
      <c r="J34" s="7" t="s">
        <v>118</v>
      </c>
      <c r="K34" s="7" t="s">
        <v>136</v>
      </c>
      <c r="L34" s="7"/>
    </row>
    <row r="35" customFormat="false" ht="23.85" hidden="false" customHeight="false" outlineLevel="0" collapsed="false">
      <c r="A35" s="10" t="n">
        <v>9</v>
      </c>
      <c r="B35" s="11" t="n">
        <f aca="false">WORKDAY(README!$C$13-1,A35)</f>
        <v>46226</v>
      </c>
      <c r="C35" s="10" t="n">
        <v>2</v>
      </c>
      <c r="D35" s="10" t="s">
        <v>102</v>
      </c>
      <c r="E35" s="10" t="s">
        <v>134</v>
      </c>
      <c r="F35" s="10" t="s">
        <v>137</v>
      </c>
      <c r="G35" s="10" t="s">
        <v>15</v>
      </c>
      <c r="H35" s="10" t="n">
        <v>2</v>
      </c>
      <c r="I35" s="10" t="s">
        <v>44</v>
      </c>
      <c r="J35" s="10" t="s">
        <v>136</v>
      </c>
      <c r="K35" s="10" t="s">
        <v>138</v>
      </c>
      <c r="L35" s="10"/>
    </row>
    <row r="36" customFormat="false" ht="23.85" hidden="false" customHeight="false" outlineLevel="0" collapsed="false">
      <c r="A36" s="7" t="n">
        <v>9</v>
      </c>
      <c r="B36" s="9" t="n">
        <f aca="false">WORKDAY(README!$C$13-1,A36)</f>
        <v>46226</v>
      </c>
      <c r="C36" s="7" t="n">
        <v>2</v>
      </c>
      <c r="D36" s="7" t="s">
        <v>102</v>
      </c>
      <c r="E36" s="7" t="s">
        <v>134</v>
      </c>
      <c r="F36" s="7" t="s">
        <v>139</v>
      </c>
      <c r="G36" s="7" t="s">
        <v>18</v>
      </c>
      <c r="H36" s="7" t="n">
        <v>3</v>
      </c>
      <c r="I36" s="7" t="s">
        <v>44</v>
      </c>
      <c r="J36" s="7" t="s">
        <v>120</v>
      </c>
      <c r="K36" s="7" t="s">
        <v>140</v>
      </c>
      <c r="L36" s="7"/>
    </row>
    <row r="37" customFormat="false" ht="23.85" hidden="false" customHeight="false" outlineLevel="0" collapsed="false">
      <c r="A37" s="10" t="n">
        <v>9</v>
      </c>
      <c r="B37" s="11" t="n">
        <f aca="false">WORKDAY(README!$C$13-1,A37)</f>
        <v>46226</v>
      </c>
      <c r="C37" s="10" t="n">
        <v>2</v>
      </c>
      <c r="D37" s="10" t="s">
        <v>102</v>
      </c>
      <c r="E37" s="10" t="s">
        <v>134</v>
      </c>
      <c r="F37" s="10" t="s">
        <v>141</v>
      </c>
      <c r="G37" s="10" t="s">
        <v>24</v>
      </c>
      <c r="H37" s="10" t="n">
        <v>2</v>
      </c>
      <c r="I37" s="10" t="s">
        <v>44</v>
      </c>
      <c r="J37" s="10" t="s">
        <v>138</v>
      </c>
      <c r="K37" s="10" t="s">
        <v>142</v>
      </c>
      <c r="L37" s="10"/>
    </row>
    <row r="38" customFormat="false" ht="23.85" hidden="false" customHeight="false" outlineLevel="0" collapsed="false">
      <c r="A38" s="7" t="n">
        <v>10</v>
      </c>
      <c r="B38" s="9" t="n">
        <f aca="false">WORKDAY(README!$C$13-1,A38)</f>
        <v>46227</v>
      </c>
      <c r="C38" s="7" t="n">
        <v>2</v>
      </c>
      <c r="D38" s="7" t="s">
        <v>102</v>
      </c>
      <c r="E38" s="7" t="s">
        <v>143</v>
      </c>
      <c r="F38" s="7" t="s">
        <v>144</v>
      </c>
      <c r="G38" s="7" t="s">
        <v>15</v>
      </c>
      <c r="H38" s="7" t="n">
        <v>2</v>
      </c>
      <c r="I38" s="7" t="s">
        <v>44</v>
      </c>
      <c r="J38" s="7" t="s">
        <v>145</v>
      </c>
      <c r="K38" s="7" t="s">
        <v>146</v>
      </c>
      <c r="L38" s="7" t="s">
        <v>47</v>
      </c>
    </row>
    <row r="39" customFormat="false" ht="23.85" hidden="false" customHeight="false" outlineLevel="0" collapsed="false">
      <c r="A39" s="10" t="n">
        <v>10</v>
      </c>
      <c r="B39" s="11" t="n">
        <f aca="false">WORKDAY(README!$C$13-1,A39)</f>
        <v>46227</v>
      </c>
      <c r="C39" s="10" t="n">
        <v>2</v>
      </c>
      <c r="D39" s="10" t="s">
        <v>102</v>
      </c>
      <c r="E39" s="10" t="s">
        <v>143</v>
      </c>
      <c r="F39" s="10" t="s">
        <v>147</v>
      </c>
      <c r="G39" s="10" t="s">
        <v>21</v>
      </c>
      <c r="H39" s="10" t="n">
        <v>2</v>
      </c>
      <c r="I39" s="10" t="s">
        <v>44</v>
      </c>
      <c r="J39" s="10" t="s">
        <v>112</v>
      </c>
      <c r="K39" s="10" t="s">
        <v>148</v>
      </c>
      <c r="L39" s="10" t="s">
        <v>149</v>
      </c>
    </row>
    <row r="40" customFormat="false" ht="23.85" hidden="false" customHeight="false" outlineLevel="0" collapsed="false">
      <c r="A40" s="7" t="n">
        <v>10</v>
      </c>
      <c r="B40" s="9" t="n">
        <f aca="false">WORKDAY(README!$C$13-1,A40)</f>
        <v>46227</v>
      </c>
      <c r="C40" s="7" t="n">
        <v>2</v>
      </c>
      <c r="D40" s="7" t="s">
        <v>102</v>
      </c>
      <c r="E40" s="7" t="s">
        <v>143</v>
      </c>
      <c r="F40" s="7" t="s">
        <v>150</v>
      </c>
      <c r="G40" s="7" t="s">
        <v>18</v>
      </c>
      <c r="H40" s="7" t="n">
        <v>2</v>
      </c>
      <c r="I40" s="7" t="s">
        <v>44</v>
      </c>
      <c r="J40" s="7" t="s">
        <v>126</v>
      </c>
      <c r="K40" s="7" t="s">
        <v>151</v>
      </c>
      <c r="L40" s="7"/>
    </row>
    <row r="41" customFormat="false" ht="23.85" hidden="false" customHeight="false" outlineLevel="0" collapsed="false">
      <c r="A41" s="10" t="n">
        <v>10</v>
      </c>
      <c r="B41" s="11" t="n">
        <f aca="false">WORKDAY(README!$C$13-1,A41)</f>
        <v>46227</v>
      </c>
      <c r="C41" s="10" t="n">
        <v>2</v>
      </c>
      <c r="D41" s="10" t="s">
        <v>102</v>
      </c>
      <c r="E41" s="10" t="s">
        <v>143</v>
      </c>
      <c r="F41" s="10" t="s">
        <v>152</v>
      </c>
      <c r="G41" s="10" t="s">
        <v>15</v>
      </c>
      <c r="H41" s="10" t="n">
        <v>1</v>
      </c>
      <c r="I41" s="10" t="s">
        <v>44</v>
      </c>
      <c r="J41" s="10" t="s">
        <v>45</v>
      </c>
      <c r="K41" s="10" t="s">
        <v>153</v>
      </c>
      <c r="L41" s="10"/>
    </row>
    <row r="42" customFormat="false" ht="23.85" hidden="false" customHeight="false" outlineLevel="0" collapsed="false">
      <c r="A42" s="7" t="n">
        <v>11</v>
      </c>
      <c r="B42" s="9" t="n">
        <f aca="false">WORKDAY(README!$C$13-1,A42)</f>
        <v>46230</v>
      </c>
      <c r="C42" s="7" t="n">
        <v>3</v>
      </c>
      <c r="D42" s="7" t="s">
        <v>154</v>
      </c>
      <c r="E42" s="7" t="s">
        <v>155</v>
      </c>
      <c r="F42" s="7" t="s">
        <v>156</v>
      </c>
      <c r="G42" s="7" t="s">
        <v>18</v>
      </c>
      <c r="H42" s="7" t="n">
        <v>4</v>
      </c>
      <c r="I42" s="7" t="s">
        <v>44</v>
      </c>
      <c r="J42" s="7" t="s">
        <v>131</v>
      </c>
      <c r="K42" s="7" t="s">
        <v>157</v>
      </c>
      <c r="L42" s="7"/>
    </row>
    <row r="43" customFormat="false" ht="23.85" hidden="false" customHeight="false" outlineLevel="0" collapsed="false">
      <c r="A43" s="10" t="n">
        <v>11</v>
      </c>
      <c r="B43" s="11" t="n">
        <f aca="false">WORKDAY(README!$C$13-1,A43)</f>
        <v>46230</v>
      </c>
      <c r="C43" s="10" t="n">
        <v>3</v>
      </c>
      <c r="D43" s="10" t="s">
        <v>154</v>
      </c>
      <c r="E43" s="10" t="s">
        <v>155</v>
      </c>
      <c r="F43" s="10" t="s">
        <v>158</v>
      </c>
      <c r="G43" s="10" t="s">
        <v>15</v>
      </c>
      <c r="H43" s="10" t="n">
        <v>4</v>
      </c>
      <c r="I43" s="10" t="s">
        <v>44</v>
      </c>
      <c r="J43" s="10" t="s">
        <v>131</v>
      </c>
      <c r="K43" s="10" t="s">
        <v>159</v>
      </c>
      <c r="L43" s="10"/>
    </row>
    <row r="44" customFormat="false" ht="23.85" hidden="false" customHeight="false" outlineLevel="0" collapsed="false">
      <c r="A44" s="7" t="n">
        <v>12</v>
      </c>
      <c r="B44" s="9" t="n">
        <f aca="false">WORKDAY(README!$C$13-1,A44)</f>
        <v>46231</v>
      </c>
      <c r="C44" s="7" t="n">
        <v>3</v>
      </c>
      <c r="D44" s="7" t="s">
        <v>154</v>
      </c>
      <c r="E44" s="7" t="s">
        <v>160</v>
      </c>
      <c r="F44" s="7" t="s">
        <v>161</v>
      </c>
      <c r="G44" s="7" t="s">
        <v>18</v>
      </c>
      <c r="H44" s="7" t="n">
        <v>3</v>
      </c>
      <c r="I44" s="7" t="s">
        <v>44</v>
      </c>
      <c r="J44" s="7" t="s">
        <v>157</v>
      </c>
      <c r="K44" s="7" t="s">
        <v>162</v>
      </c>
      <c r="L44" s="7"/>
    </row>
    <row r="45" customFormat="false" ht="23.85" hidden="false" customHeight="false" outlineLevel="0" collapsed="false">
      <c r="A45" s="10" t="n">
        <v>12</v>
      </c>
      <c r="B45" s="11" t="n">
        <f aca="false">WORKDAY(README!$C$13-1,A45)</f>
        <v>46231</v>
      </c>
      <c r="C45" s="10" t="n">
        <v>3</v>
      </c>
      <c r="D45" s="10" t="s">
        <v>154</v>
      </c>
      <c r="E45" s="10" t="s">
        <v>160</v>
      </c>
      <c r="F45" s="10" t="s">
        <v>163</v>
      </c>
      <c r="G45" s="10" t="s">
        <v>15</v>
      </c>
      <c r="H45" s="10" t="n">
        <v>4</v>
      </c>
      <c r="I45" s="10" t="s">
        <v>44</v>
      </c>
      <c r="J45" s="10" t="s">
        <v>159</v>
      </c>
      <c r="K45" s="10" t="s">
        <v>164</v>
      </c>
      <c r="L45" s="10"/>
    </row>
    <row r="46" customFormat="false" ht="23.85" hidden="false" customHeight="false" outlineLevel="0" collapsed="false">
      <c r="A46" s="7" t="n">
        <v>13</v>
      </c>
      <c r="B46" s="9" t="n">
        <f aca="false">WORKDAY(README!$C$13-1,A46)</f>
        <v>46232</v>
      </c>
      <c r="C46" s="7" t="n">
        <v>3</v>
      </c>
      <c r="D46" s="7" t="s">
        <v>154</v>
      </c>
      <c r="E46" s="7" t="s">
        <v>165</v>
      </c>
      <c r="F46" s="7" t="s">
        <v>166</v>
      </c>
      <c r="G46" s="7" t="s">
        <v>18</v>
      </c>
      <c r="H46" s="7" t="n">
        <v>4</v>
      </c>
      <c r="I46" s="7" t="s">
        <v>44</v>
      </c>
      <c r="J46" s="7" t="s">
        <v>133</v>
      </c>
      <c r="K46" s="7" t="s">
        <v>167</v>
      </c>
      <c r="L46" s="7"/>
    </row>
    <row r="47" customFormat="false" ht="23.85" hidden="false" customHeight="false" outlineLevel="0" collapsed="false">
      <c r="A47" s="10" t="n">
        <v>13</v>
      </c>
      <c r="B47" s="11" t="n">
        <f aca="false">WORKDAY(README!$C$13-1,A47)</f>
        <v>46232</v>
      </c>
      <c r="C47" s="10" t="n">
        <v>3</v>
      </c>
      <c r="D47" s="10" t="s">
        <v>154</v>
      </c>
      <c r="E47" s="10" t="s">
        <v>165</v>
      </c>
      <c r="F47" s="10" t="s">
        <v>168</v>
      </c>
      <c r="G47" s="10" t="s">
        <v>15</v>
      </c>
      <c r="H47" s="10" t="n">
        <v>3</v>
      </c>
      <c r="I47" s="10" t="s">
        <v>44</v>
      </c>
      <c r="J47" s="10" t="s">
        <v>148</v>
      </c>
      <c r="K47" s="10" t="s">
        <v>169</v>
      </c>
      <c r="L47" s="10"/>
    </row>
    <row r="48" customFormat="false" ht="23.85" hidden="false" customHeight="false" outlineLevel="0" collapsed="false">
      <c r="A48" s="7" t="n">
        <v>14</v>
      </c>
      <c r="B48" s="9" t="n">
        <f aca="false">WORKDAY(README!$C$13-1,A48)</f>
        <v>46233</v>
      </c>
      <c r="C48" s="7" t="n">
        <v>3</v>
      </c>
      <c r="D48" s="7" t="s">
        <v>154</v>
      </c>
      <c r="E48" s="7" t="s">
        <v>170</v>
      </c>
      <c r="F48" s="7" t="s">
        <v>171</v>
      </c>
      <c r="G48" s="7" t="s">
        <v>18</v>
      </c>
      <c r="H48" s="7" t="n">
        <v>4</v>
      </c>
      <c r="I48" s="7" t="s">
        <v>44</v>
      </c>
      <c r="J48" s="7" t="s">
        <v>128</v>
      </c>
      <c r="K48" s="7" t="s">
        <v>172</v>
      </c>
      <c r="L48" s="7"/>
    </row>
    <row r="49" customFormat="false" ht="23.85" hidden="false" customHeight="false" outlineLevel="0" collapsed="false">
      <c r="A49" s="10" t="n">
        <v>14</v>
      </c>
      <c r="B49" s="11" t="n">
        <f aca="false">WORKDAY(README!$C$13-1,A49)</f>
        <v>46233</v>
      </c>
      <c r="C49" s="10" t="n">
        <v>3</v>
      </c>
      <c r="D49" s="10" t="s">
        <v>154</v>
      </c>
      <c r="E49" s="10" t="s">
        <v>170</v>
      </c>
      <c r="F49" s="10" t="s">
        <v>173</v>
      </c>
      <c r="G49" s="10" t="s">
        <v>15</v>
      </c>
      <c r="H49" s="10" t="n">
        <v>4</v>
      </c>
      <c r="I49" s="10" t="s">
        <v>44</v>
      </c>
      <c r="J49" s="10" t="s">
        <v>128</v>
      </c>
      <c r="K49" s="10" t="s">
        <v>174</v>
      </c>
      <c r="L49" s="10"/>
    </row>
    <row r="50" customFormat="false" ht="35.05" hidden="false" customHeight="false" outlineLevel="0" collapsed="false">
      <c r="A50" s="7" t="n">
        <v>15</v>
      </c>
      <c r="B50" s="9" t="n">
        <f aca="false">WORKDAY(README!$C$13-1,A50)</f>
        <v>46234</v>
      </c>
      <c r="C50" s="7" t="n">
        <v>3</v>
      </c>
      <c r="D50" s="7" t="s">
        <v>154</v>
      </c>
      <c r="E50" s="7" t="s">
        <v>175</v>
      </c>
      <c r="F50" s="7" t="s">
        <v>176</v>
      </c>
      <c r="G50" s="7" t="s">
        <v>18</v>
      </c>
      <c r="H50" s="7" t="n">
        <v>4</v>
      </c>
      <c r="I50" s="7" t="s">
        <v>44</v>
      </c>
      <c r="J50" s="7" t="s">
        <v>157</v>
      </c>
      <c r="K50" s="7" t="s">
        <v>177</v>
      </c>
      <c r="L50" s="7"/>
    </row>
    <row r="51" customFormat="false" ht="23.85" hidden="false" customHeight="false" outlineLevel="0" collapsed="false">
      <c r="A51" s="10" t="n">
        <v>15</v>
      </c>
      <c r="B51" s="11" t="n">
        <f aca="false">WORKDAY(README!$C$13-1,A51)</f>
        <v>46234</v>
      </c>
      <c r="C51" s="10" t="n">
        <v>3</v>
      </c>
      <c r="D51" s="10" t="s">
        <v>154</v>
      </c>
      <c r="E51" s="10" t="s">
        <v>175</v>
      </c>
      <c r="F51" s="10" t="s">
        <v>178</v>
      </c>
      <c r="G51" s="10" t="s">
        <v>15</v>
      </c>
      <c r="H51" s="10" t="n">
        <v>3</v>
      </c>
      <c r="I51" s="10" t="s">
        <v>44</v>
      </c>
      <c r="J51" s="10" t="s">
        <v>133</v>
      </c>
      <c r="K51" s="10" t="s">
        <v>179</v>
      </c>
      <c r="L51" s="10"/>
    </row>
    <row r="52" customFormat="false" ht="23.85" hidden="false" customHeight="false" outlineLevel="0" collapsed="false">
      <c r="A52" s="7" t="n">
        <v>16</v>
      </c>
      <c r="B52" s="9" t="n">
        <f aca="false">WORKDAY(README!$C$13-1,A52)</f>
        <v>46237</v>
      </c>
      <c r="C52" s="7" t="n">
        <v>4</v>
      </c>
      <c r="D52" s="7" t="s">
        <v>154</v>
      </c>
      <c r="E52" s="7" t="s">
        <v>180</v>
      </c>
      <c r="F52" s="7" t="s">
        <v>181</v>
      </c>
      <c r="G52" s="7" t="s">
        <v>18</v>
      </c>
      <c r="H52" s="7" t="n">
        <v>3</v>
      </c>
      <c r="I52" s="7" t="s">
        <v>44</v>
      </c>
      <c r="J52" s="7" t="s">
        <v>167</v>
      </c>
      <c r="K52" s="7" t="s">
        <v>182</v>
      </c>
      <c r="L52" s="7"/>
    </row>
    <row r="53" customFormat="false" ht="23.85" hidden="false" customHeight="false" outlineLevel="0" collapsed="false">
      <c r="A53" s="10" t="n">
        <v>16</v>
      </c>
      <c r="B53" s="11" t="n">
        <f aca="false">WORKDAY(README!$C$13-1,A53)</f>
        <v>46237</v>
      </c>
      <c r="C53" s="10" t="n">
        <v>4</v>
      </c>
      <c r="D53" s="10" t="s">
        <v>154</v>
      </c>
      <c r="E53" s="10" t="s">
        <v>180</v>
      </c>
      <c r="F53" s="10" t="s">
        <v>183</v>
      </c>
      <c r="G53" s="10" t="s">
        <v>15</v>
      </c>
      <c r="H53" s="10" t="n">
        <v>3</v>
      </c>
      <c r="I53" s="10" t="s">
        <v>44</v>
      </c>
      <c r="J53" s="10" t="s">
        <v>133</v>
      </c>
      <c r="K53" s="10" t="s">
        <v>184</v>
      </c>
      <c r="L53" s="10"/>
    </row>
    <row r="54" customFormat="false" ht="23.85" hidden="false" customHeight="false" outlineLevel="0" collapsed="false">
      <c r="A54" s="7" t="n">
        <v>17</v>
      </c>
      <c r="B54" s="9" t="n">
        <f aca="false">WORKDAY(README!$C$13-1,A54)</f>
        <v>46238</v>
      </c>
      <c r="C54" s="7" t="n">
        <v>4</v>
      </c>
      <c r="D54" s="7" t="s">
        <v>154</v>
      </c>
      <c r="E54" s="7" t="s">
        <v>185</v>
      </c>
      <c r="F54" s="7" t="s">
        <v>186</v>
      </c>
      <c r="G54" s="7" t="s">
        <v>18</v>
      </c>
      <c r="H54" s="7" t="n">
        <v>4</v>
      </c>
      <c r="I54" s="7" t="s">
        <v>44</v>
      </c>
      <c r="J54" s="7" t="s">
        <v>133</v>
      </c>
      <c r="K54" s="7" t="s">
        <v>187</v>
      </c>
      <c r="L54" s="7"/>
    </row>
    <row r="55" customFormat="false" ht="23.85" hidden="false" customHeight="false" outlineLevel="0" collapsed="false">
      <c r="A55" s="10" t="n">
        <v>17</v>
      </c>
      <c r="B55" s="11" t="n">
        <f aca="false">WORKDAY(README!$C$13-1,A55)</f>
        <v>46238</v>
      </c>
      <c r="C55" s="10" t="n">
        <v>4</v>
      </c>
      <c r="D55" s="10" t="s">
        <v>154</v>
      </c>
      <c r="E55" s="10" t="s">
        <v>185</v>
      </c>
      <c r="F55" s="10" t="s">
        <v>188</v>
      </c>
      <c r="G55" s="10" t="s">
        <v>15</v>
      </c>
      <c r="H55" s="10" t="n">
        <v>4</v>
      </c>
      <c r="I55" s="10" t="s">
        <v>44</v>
      </c>
      <c r="J55" s="10" t="s">
        <v>187</v>
      </c>
      <c r="K55" s="10" t="s">
        <v>189</v>
      </c>
      <c r="L55" s="10"/>
    </row>
    <row r="56" customFormat="false" ht="23.85" hidden="false" customHeight="false" outlineLevel="0" collapsed="false">
      <c r="A56" s="7" t="n">
        <v>18</v>
      </c>
      <c r="B56" s="9" t="n">
        <f aca="false">WORKDAY(README!$C$13-1,A56)</f>
        <v>46239</v>
      </c>
      <c r="C56" s="7" t="n">
        <v>4</v>
      </c>
      <c r="D56" s="7" t="s">
        <v>154</v>
      </c>
      <c r="E56" s="7" t="s">
        <v>190</v>
      </c>
      <c r="F56" s="7" t="s">
        <v>191</v>
      </c>
      <c r="G56" s="7" t="s">
        <v>18</v>
      </c>
      <c r="H56" s="7" t="n">
        <v>5</v>
      </c>
      <c r="I56" s="7" t="s">
        <v>44</v>
      </c>
      <c r="J56" s="7" t="s">
        <v>192</v>
      </c>
      <c r="K56" s="7" t="s">
        <v>193</v>
      </c>
      <c r="L56" s="7"/>
    </row>
    <row r="57" customFormat="false" ht="23.85" hidden="false" customHeight="false" outlineLevel="0" collapsed="false">
      <c r="A57" s="10" t="n">
        <v>18</v>
      </c>
      <c r="B57" s="11" t="n">
        <f aca="false">WORKDAY(README!$C$13-1,A57)</f>
        <v>46239</v>
      </c>
      <c r="C57" s="10" t="n">
        <v>4</v>
      </c>
      <c r="D57" s="10" t="s">
        <v>154</v>
      </c>
      <c r="E57" s="10" t="s">
        <v>190</v>
      </c>
      <c r="F57" s="10" t="s">
        <v>194</v>
      </c>
      <c r="G57" s="10" t="s">
        <v>15</v>
      </c>
      <c r="H57" s="10" t="n">
        <v>4</v>
      </c>
      <c r="I57" s="10" t="s">
        <v>44</v>
      </c>
      <c r="J57" s="10" t="s">
        <v>193</v>
      </c>
      <c r="K57" s="10" t="s">
        <v>195</v>
      </c>
      <c r="L57" s="10"/>
    </row>
    <row r="58" customFormat="false" ht="23.85" hidden="false" customHeight="false" outlineLevel="0" collapsed="false">
      <c r="A58" s="7" t="n">
        <v>19</v>
      </c>
      <c r="B58" s="9" t="n">
        <f aca="false">WORKDAY(README!$C$13-1,A58)</f>
        <v>46240</v>
      </c>
      <c r="C58" s="7" t="n">
        <v>4</v>
      </c>
      <c r="D58" s="7" t="s">
        <v>154</v>
      </c>
      <c r="E58" s="7" t="s">
        <v>196</v>
      </c>
      <c r="F58" s="7" t="s">
        <v>197</v>
      </c>
      <c r="G58" s="7" t="s">
        <v>18</v>
      </c>
      <c r="H58" s="7" t="n">
        <v>4</v>
      </c>
      <c r="I58" s="7" t="s">
        <v>44</v>
      </c>
      <c r="J58" s="7" t="s">
        <v>198</v>
      </c>
      <c r="K58" s="7" t="s">
        <v>199</v>
      </c>
      <c r="L58" s="7"/>
    </row>
    <row r="59" customFormat="false" ht="23.85" hidden="false" customHeight="false" outlineLevel="0" collapsed="false">
      <c r="A59" s="10" t="n">
        <v>19</v>
      </c>
      <c r="B59" s="11" t="n">
        <f aca="false">WORKDAY(README!$C$13-1,A59)</f>
        <v>46240</v>
      </c>
      <c r="C59" s="10" t="n">
        <v>4</v>
      </c>
      <c r="D59" s="10" t="s">
        <v>154</v>
      </c>
      <c r="E59" s="10" t="s">
        <v>196</v>
      </c>
      <c r="F59" s="10" t="s">
        <v>200</v>
      </c>
      <c r="G59" s="10" t="s">
        <v>15</v>
      </c>
      <c r="H59" s="10" t="n">
        <v>3</v>
      </c>
      <c r="I59" s="10" t="s">
        <v>44</v>
      </c>
      <c r="J59" s="10" t="s">
        <v>199</v>
      </c>
      <c r="K59" s="10" t="s">
        <v>201</v>
      </c>
      <c r="L59" s="10"/>
    </row>
    <row r="60" customFormat="false" ht="23.85" hidden="false" customHeight="false" outlineLevel="0" collapsed="false">
      <c r="A60" s="7" t="n">
        <v>19</v>
      </c>
      <c r="B60" s="9" t="n">
        <f aca="false">WORKDAY(README!$C$13-1,A60)</f>
        <v>46240</v>
      </c>
      <c r="C60" s="7" t="n">
        <v>4</v>
      </c>
      <c r="D60" s="7" t="s">
        <v>154</v>
      </c>
      <c r="E60" s="7" t="s">
        <v>196</v>
      </c>
      <c r="F60" s="7" t="s">
        <v>202</v>
      </c>
      <c r="G60" s="7" t="s">
        <v>21</v>
      </c>
      <c r="H60" s="7" t="n">
        <v>2</v>
      </c>
      <c r="I60" s="7" t="s">
        <v>44</v>
      </c>
      <c r="J60" s="7" t="s">
        <v>201</v>
      </c>
      <c r="K60" s="7" t="s">
        <v>203</v>
      </c>
      <c r="L60" s="7" t="s">
        <v>123</v>
      </c>
    </row>
    <row r="61" customFormat="false" ht="23.85" hidden="false" customHeight="false" outlineLevel="0" collapsed="false">
      <c r="A61" s="10" t="n">
        <v>20</v>
      </c>
      <c r="B61" s="11" t="n">
        <f aca="false">WORKDAY(README!$C$13-1,A61)</f>
        <v>46241</v>
      </c>
      <c r="C61" s="10" t="n">
        <v>4</v>
      </c>
      <c r="D61" s="10" t="s">
        <v>154</v>
      </c>
      <c r="E61" s="10" t="s">
        <v>204</v>
      </c>
      <c r="F61" s="10" t="s">
        <v>205</v>
      </c>
      <c r="G61" s="10" t="s">
        <v>18</v>
      </c>
      <c r="H61" s="10" t="n">
        <v>4</v>
      </c>
      <c r="I61" s="10" t="s">
        <v>44</v>
      </c>
      <c r="J61" s="10" t="s">
        <v>203</v>
      </c>
      <c r="K61" s="10" t="s">
        <v>206</v>
      </c>
      <c r="L61" s="10"/>
    </row>
    <row r="62" customFormat="false" ht="23.85" hidden="false" customHeight="false" outlineLevel="0" collapsed="false">
      <c r="A62" s="7" t="n">
        <v>20</v>
      </c>
      <c r="B62" s="9" t="n">
        <f aca="false">WORKDAY(README!$C$13-1,A62)</f>
        <v>46241</v>
      </c>
      <c r="C62" s="7" t="n">
        <v>4</v>
      </c>
      <c r="D62" s="7" t="s">
        <v>154</v>
      </c>
      <c r="E62" s="7" t="s">
        <v>204</v>
      </c>
      <c r="F62" s="7" t="s">
        <v>207</v>
      </c>
      <c r="G62" s="7" t="s">
        <v>15</v>
      </c>
      <c r="H62" s="7" t="n">
        <v>3</v>
      </c>
      <c r="I62" s="7" t="s">
        <v>44</v>
      </c>
      <c r="J62" s="7" t="s">
        <v>206</v>
      </c>
      <c r="K62" s="7" t="s">
        <v>208</v>
      </c>
      <c r="L62" s="7"/>
    </row>
    <row r="63" customFormat="false" ht="23.85" hidden="false" customHeight="false" outlineLevel="0" collapsed="false">
      <c r="A63" s="10" t="n">
        <v>20</v>
      </c>
      <c r="B63" s="11" t="n">
        <f aca="false">WORKDAY(README!$C$13-1,A63)</f>
        <v>46241</v>
      </c>
      <c r="C63" s="10" t="n">
        <v>4</v>
      </c>
      <c r="D63" s="10" t="s">
        <v>154</v>
      </c>
      <c r="E63" s="10" t="s">
        <v>204</v>
      </c>
      <c r="F63" s="10" t="s">
        <v>209</v>
      </c>
      <c r="G63" s="10" t="s">
        <v>15</v>
      </c>
      <c r="H63" s="10" t="n">
        <v>1</v>
      </c>
      <c r="I63" s="10" t="s">
        <v>44</v>
      </c>
      <c r="J63" s="10" t="s">
        <v>208</v>
      </c>
      <c r="K63" s="10" t="s">
        <v>210</v>
      </c>
      <c r="L63" s="10" t="s">
        <v>211</v>
      </c>
    </row>
    <row r="64" customFormat="false" ht="23.85" hidden="false" customHeight="false" outlineLevel="0" collapsed="false">
      <c r="A64" s="7" t="n">
        <v>21</v>
      </c>
      <c r="B64" s="9" t="n">
        <f aca="false">WORKDAY(README!$C$13-1,A64)</f>
        <v>46244</v>
      </c>
      <c r="C64" s="7" t="n">
        <v>5</v>
      </c>
      <c r="D64" s="7" t="s">
        <v>212</v>
      </c>
      <c r="E64" s="7" t="s">
        <v>213</v>
      </c>
      <c r="F64" s="7" t="s">
        <v>214</v>
      </c>
      <c r="G64" s="7" t="s">
        <v>18</v>
      </c>
      <c r="H64" s="7" t="n">
        <v>4</v>
      </c>
      <c r="I64" s="7" t="s">
        <v>44</v>
      </c>
      <c r="J64" s="7" t="s">
        <v>215</v>
      </c>
      <c r="K64" s="7" t="s">
        <v>216</v>
      </c>
      <c r="L64" s="7"/>
    </row>
    <row r="65" customFormat="false" ht="23.85" hidden="false" customHeight="false" outlineLevel="0" collapsed="false">
      <c r="A65" s="10" t="n">
        <v>21</v>
      </c>
      <c r="B65" s="11" t="n">
        <f aca="false">WORKDAY(README!$C$13-1,A65)</f>
        <v>46244</v>
      </c>
      <c r="C65" s="10" t="n">
        <v>5</v>
      </c>
      <c r="D65" s="10" t="s">
        <v>212</v>
      </c>
      <c r="E65" s="10" t="s">
        <v>213</v>
      </c>
      <c r="F65" s="10" t="s">
        <v>217</v>
      </c>
      <c r="G65" s="10" t="s">
        <v>15</v>
      </c>
      <c r="H65" s="10" t="n">
        <v>4</v>
      </c>
      <c r="I65" s="10" t="s">
        <v>44</v>
      </c>
      <c r="J65" s="10" t="s">
        <v>148</v>
      </c>
      <c r="K65" s="10" t="s">
        <v>218</v>
      </c>
      <c r="L65" s="10"/>
    </row>
    <row r="66" customFormat="false" ht="23.85" hidden="false" customHeight="false" outlineLevel="0" collapsed="false">
      <c r="A66" s="7" t="n">
        <v>22</v>
      </c>
      <c r="B66" s="9" t="n">
        <f aca="false">WORKDAY(README!$C$13-1,A66)</f>
        <v>46245</v>
      </c>
      <c r="C66" s="7" t="n">
        <v>5</v>
      </c>
      <c r="D66" s="7" t="s">
        <v>212</v>
      </c>
      <c r="E66" s="7" t="s">
        <v>219</v>
      </c>
      <c r="F66" s="7" t="s">
        <v>220</v>
      </c>
      <c r="G66" s="7" t="s">
        <v>18</v>
      </c>
      <c r="H66" s="7" t="n">
        <v>4</v>
      </c>
      <c r="I66" s="7" t="s">
        <v>44</v>
      </c>
      <c r="J66" s="7" t="s">
        <v>216</v>
      </c>
      <c r="K66" s="7" t="s">
        <v>221</v>
      </c>
      <c r="L66" s="7"/>
    </row>
    <row r="67" customFormat="false" ht="23.85" hidden="false" customHeight="false" outlineLevel="0" collapsed="false">
      <c r="A67" s="10" t="n">
        <v>22</v>
      </c>
      <c r="B67" s="11" t="n">
        <f aca="false">WORKDAY(README!$C$13-1,A67)</f>
        <v>46245</v>
      </c>
      <c r="C67" s="10" t="n">
        <v>5</v>
      </c>
      <c r="D67" s="10" t="s">
        <v>212</v>
      </c>
      <c r="E67" s="10" t="s">
        <v>219</v>
      </c>
      <c r="F67" s="10" t="s">
        <v>222</v>
      </c>
      <c r="G67" s="10" t="s">
        <v>15</v>
      </c>
      <c r="H67" s="10" t="n">
        <v>4</v>
      </c>
      <c r="I67" s="10" t="s">
        <v>44</v>
      </c>
      <c r="J67" s="10" t="s">
        <v>223</v>
      </c>
      <c r="K67" s="10" t="s">
        <v>224</v>
      </c>
      <c r="L67" s="10"/>
    </row>
    <row r="68" customFormat="false" ht="23.85" hidden="false" customHeight="false" outlineLevel="0" collapsed="false">
      <c r="A68" s="7" t="n">
        <v>23</v>
      </c>
      <c r="B68" s="9" t="n">
        <f aca="false">WORKDAY(README!$C$13-1,A68)</f>
        <v>46246</v>
      </c>
      <c r="C68" s="7" t="n">
        <v>5</v>
      </c>
      <c r="D68" s="7" t="s">
        <v>212</v>
      </c>
      <c r="E68" s="7" t="s">
        <v>225</v>
      </c>
      <c r="F68" s="7" t="s">
        <v>226</v>
      </c>
      <c r="G68" s="7" t="s">
        <v>18</v>
      </c>
      <c r="H68" s="7" t="n">
        <v>4</v>
      </c>
      <c r="I68" s="7" t="s">
        <v>44</v>
      </c>
      <c r="J68" s="7" t="s">
        <v>112</v>
      </c>
      <c r="K68" s="7" t="s">
        <v>227</v>
      </c>
      <c r="L68" s="7" t="s">
        <v>228</v>
      </c>
    </row>
    <row r="69" customFormat="false" ht="23.85" hidden="false" customHeight="false" outlineLevel="0" collapsed="false">
      <c r="A69" s="10" t="n">
        <v>23</v>
      </c>
      <c r="B69" s="11" t="n">
        <f aca="false">WORKDAY(README!$C$13-1,A69)</f>
        <v>46246</v>
      </c>
      <c r="C69" s="10" t="n">
        <v>5</v>
      </c>
      <c r="D69" s="10" t="s">
        <v>212</v>
      </c>
      <c r="E69" s="10" t="s">
        <v>225</v>
      </c>
      <c r="F69" s="10" t="s">
        <v>229</v>
      </c>
      <c r="G69" s="10" t="s">
        <v>21</v>
      </c>
      <c r="H69" s="10" t="n">
        <v>3</v>
      </c>
      <c r="I69" s="10" t="s">
        <v>44</v>
      </c>
      <c r="J69" s="10" t="s">
        <v>227</v>
      </c>
      <c r="K69" s="10" t="s">
        <v>230</v>
      </c>
      <c r="L69" s="10" t="s">
        <v>123</v>
      </c>
    </row>
    <row r="70" customFormat="false" ht="23.85" hidden="false" customHeight="false" outlineLevel="0" collapsed="false">
      <c r="A70" s="7" t="n">
        <v>24</v>
      </c>
      <c r="B70" s="9" t="n">
        <f aca="false">WORKDAY(README!$C$13-1,A70)</f>
        <v>46247</v>
      </c>
      <c r="C70" s="7" t="n">
        <v>5</v>
      </c>
      <c r="D70" s="7" t="s">
        <v>212</v>
      </c>
      <c r="E70" s="7" t="s">
        <v>231</v>
      </c>
      <c r="F70" s="7" t="s">
        <v>232</v>
      </c>
      <c r="G70" s="7" t="s">
        <v>18</v>
      </c>
      <c r="H70" s="7" t="n">
        <v>4</v>
      </c>
      <c r="I70" s="7" t="s">
        <v>44</v>
      </c>
      <c r="J70" s="7" t="s">
        <v>218</v>
      </c>
      <c r="K70" s="7" t="s">
        <v>233</v>
      </c>
      <c r="L70" s="7"/>
    </row>
    <row r="71" customFormat="false" ht="23.85" hidden="false" customHeight="false" outlineLevel="0" collapsed="false">
      <c r="A71" s="10" t="n">
        <v>24</v>
      </c>
      <c r="B71" s="11" t="n">
        <f aca="false">WORKDAY(README!$C$13-1,A71)</f>
        <v>46247</v>
      </c>
      <c r="C71" s="10" t="n">
        <v>5</v>
      </c>
      <c r="D71" s="10" t="s">
        <v>212</v>
      </c>
      <c r="E71" s="10" t="s">
        <v>231</v>
      </c>
      <c r="F71" s="10" t="s">
        <v>234</v>
      </c>
      <c r="G71" s="10" t="s">
        <v>15</v>
      </c>
      <c r="H71" s="10" t="n">
        <v>4</v>
      </c>
      <c r="I71" s="10" t="s">
        <v>44</v>
      </c>
      <c r="J71" s="10" t="s">
        <v>235</v>
      </c>
      <c r="K71" s="10" t="s">
        <v>236</v>
      </c>
      <c r="L71" s="10"/>
    </row>
    <row r="72" customFormat="false" ht="23.85" hidden="false" customHeight="false" outlineLevel="0" collapsed="false">
      <c r="A72" s="7" t="n">
        <v>25</v>
      </c>
      <c r="B72" s="9" t="n">
        <f aca="false">WORKDAY(README!$C$13-1,A72)</f>
        <v>46248</v>
      </c>
      <c r="C72" s="7" t="n">
        <v>5</v>
      </c>
      <c r="D72" s="7" t="s">
        <v>212</v>
      </c>
      <c r="E72" s="7" t="s">
        <v>237</v>
      </c>
      <c r="F72" s="7" t="s">
        <v>238</v>
      </c>
      <c r="G72" s="7" t="s">
        <v>18</v>
      </c>
      <c r="H72" s="7" t="n">
        <v>4</v>
      </c>
      <c r="I72" s="7" t="s">
        <v>44</v>
      </c>
      <c r="J72" s="7" t="s">
        <v>239</v>
      </c>
      <c r="K72" s="7" t="s">
        <v>240</v>
      </c>
      <c r="L72" s="7"/>
    </row>
    <row r="73" customFormat="false" ht="23.85" hidden="false" customHeight="false" outlineLevel="0" collapsed="false">
      <c r="A73" s="10" t="n">
        <v>25</v>
      </c>
      <c r="B73" s="11" t="n">
        <f aca="false">WORKDAY(README!$C$13-1,A73)</f>
        <v>46248</v>
      </c>
      <c r="C73" s="10" t="n">
        <v>5</v>
      </c>
      <c r="D73" s="10" t="s">
        <v>212</v>
      </c>
      <c r="E73" s="10" t="s">
        <v>237</v>
      </c>
      <c r="F73" s="10" t="s">
        <v>241</v>
      </c>
      <c r="G73" s="10" t="s">
        <v>15</v>
      </c>
      <c r="H73" s="10" t="n">
        <v>3</v>
      </c>
      <c r="I73" s="10" t="s">
        <v>44</v>
      </c>
      <c r="J73" s="10" t="s">
        <v>240</v>
      </c>
      <c r="K73" s="10" t="s">
        <v>242</v>
      </c>
      <c r="L73" s="10"/>
    </row>
    <row r="74" customFormat="false" ht="23.85" hidden="false" customHeight="false" outlineLevel="0" collapsed="false">
      <c r="A74" s="7" t="n">
        <v>25</v>
      </c>
      <c r="B74" s="9" t="n">
        <f aca="false">WORKDAY(README!$C$13-1,A74)</f>
        <v>46248</v>
      </c>
      <c r="C74" s="7" t="n">
        <v>5</v>
      </c>
      <c r="D74" s="7" t="s">
        <v>212</v>
      </c>
      <c r="E74" s="7" t="s">
        <v>237</v>
      </c>
      <c r="F74" s="7" t="s">
        <v>243</v>
      </c>
      <c r="G74" s="7" t="s">
        <v>21</v>
      </c>
      <c r="H74" s="7" t="n">
        <v>2</v>
      </c>
      <c r="I74" s="7" t="s">
        <v>44</v>
      </c>
      <c r="J74" s="7" t="s">
        <v>242</v>
      </c>
      <c r="K74" s="7" t="s">
        <v>244</v>
      </c>
      <c r="L74" s="7" t="s">
        <v>123</v>
      </c>
    </row>
    <row r="75" customFormat="false" ht="23.85" hidden="false" customHeight="false" outlineLevel="0" collapsed="false">
      <c r="A75" s="10" t="n">
        <v>26</v>
      </c>
      <c r="B75" s="11" t="n">
        <f aca="false">WORKDAY(README!$C$13-1,A75)</f>
        <v>46251</v>
      </c>
      <c r="C75" s="10" t="n">
        <v>6</v>
      </c>
      <c r="D75" s="10" t="s">
        <v>245</v>
      </c>
      <c r="E75" s="10" t="s">
        <v>246</v>
      </c>
      <c r="F75" s="10" t="s">
        <v>247</v>
      </c>
      <c r="G75" s="10" t="s">
        <v>18</v>
      </c>
      <c r="H75" s="10" t="n">
        <v>4</v>
      </c>
      <c r="I75" s="10" t="s">
        <v>44</v>
      </c>
      <c r="J75" s="10" t="s">
        <v>248</v>
      </c>
      <c r="K75" s="10" t="s">
        <v>249</v>
      </c>
      <c r="L75" s="10"/>
    </row>
    <row r="76" customFormat="false" ht="23.85" hidden="false" customHeight="false" outlineLevel="0" collapsed="false">
      <c r="A76" s="7" t="n">
        <v>26</v>
      </c>
      <c r="B76" s="9" t="n">
        <f aca="false">WORKDAY(README!$C$13-1,A76)</f>
        <v>46251</v>
      </c>
      <c r="C76" s="7" t="n">
        <v>6</v>
      </c>
      <c r="D76" s="7" t="s">
        <v>245</v>
      </c>
      <c r="E76" s="7" t="s">
        <v>246</v>
      </c>
      <c r="F76" s="7" t="s">
        <v>250</v>
      </c>
      <c r="G76" s="7" t="s">
        <v>15</v>
      </c>
      <c r="H76" s="7" t="n">
        <v>3</v>
      </c>
      <c r="I76" s="7" t="s">
        <v>44</v>
      </c>
      <c r="J76" s="7" t="s">
        <v>251</v>
      </c>
      <c r="K76" s="7" t="s">
        <v>252</v>
      </c>
      <c r="L76" s="7"/>
    </row>
    <row r="77" customFormat="false" ht="23.85" hidden="false" customHeight="false" outlineLevel="0" collapsed="false">
      <c r="A77" s="10" t="n">
        <v>27</v>
      </c>
      <c r="B77" s="11" t="n">
        <f aca="false">WORKDAY(README!$C$13-1,A77)</f>
        <v>46252</v>
      </c>
      <c r="C77" s="10" t="n">
        <v>6</v>
      </c>
      <c r="D77" s="10" t="s">
        <v>245</v>
      </c>
      <c r="E77" s="10" t="s">
        <v>253</v>
      </c>
      <c r="F77" s="10" t="s">
        <v>254</v>
      </c>
      <c r="G77" s="10" t="s">
        <v>18</v>
      </c>
      <c r="H77" s="10" t="n">
        <v>4</v>
      </c>
      <c r="I77" s="10" t="s">
        <v>44</v>
      </c>
      <c r="J77" s="10" t="s">
        <v>249</v>
      </c>
      <c r="K77" s="10" t="s">
        <v>255</v>
      </c>
      <c r="L77" s="10"/>
    </row>
    <row r="78" customFormat="false" ht="23.85" hidden="false" customHeight="false" outlineLevel="0" collapsed="false">
      <c r="A78" s="7" t="n">
        <v>27</v>
      </c>
      <c r="B78" s="9" t="n">
        <f aca="false">WORKDAY(README!$C$13-1,A78)</f>
        <v>46252</v>
      </c>
      <c r="C78" s="7" t="n">
        <v>6</v>
      </c>
      <c r="D78" s="7" t="s">
        <v>245</v>
      </c>
      <c r="E78" s="7" t="s">
        <v>253</v>
      </c>
      <c r="F78" s="7" t="s">
        <v>256</v>
      </c>
      <c r="G78" s="7" t="s">
        <v>15</v>
      </c>
      <c r="H78" s="7" t="n">
        <v>3</v>
      </c>
      <c r="I78" s="7" t="s">
        <v>44</v>
      </c>
      <c r="J78" s="7" t="s">
        <v>233</v>
      </c>
      <c r="K78" s="7" t="s">
        <v>257</v>
      </c>
      <c r="L78" s="7"/>
    </row>
    <row r="79" customFormat="false" ht="23.85" hidden="false" customHeight="false" outlineLevel="0" collapsed="false">
      <c r="A79" s="10" t="n">
        <v>28</v>
      </c>
      <c r="B79" s="11" t="n">
        <f aca="false">WORKDAY(README!$C$13-1,A79)</f>
        <v>46253</v>
      </c>
      <c r="C79" s="10" t="n">
        <v>6</v>
      </c>
      <c r="D79" s="10" t="s">
        <v>245</v>
      </c>
      <c r="E79" s="10" t="s">
        <v>258</v>
      </c>
      <c r="F79" s="10" t="s">
        <v>259</v>
      </c>
      <c r="G79" s="10" t="s">
        <v>18</v>
      </c>
      <c r="H79" s="10" t="n">
        <v>5</v>
      </c>
      <c r="I79" s="10" t="s">
        <v>44</v>
      </c>
      <c r="J79" s="10" t="s">
        <v>236</v>
      </c>
      <c r="K79" s="10" t="s">
        <v>260</v>
      </c>
      <c r="L79" s="10"/>
    </row>
    <row r="80" customFormat="false" ht="23.85" hidden="false" customHeight="false" outlineLevel="0" collapsed="false">
      <c r="A80" s="7" t="n">
        <v>28</v>
      </c>
      <c r="B80" s="9" t="n">
        <f aca="false">WORKDAY(README!$C$13-1,A80)</f>
        <v>46253</v>
      </c>
      <c r="C80" s="7" t="n">
        <v>6</v>
      </c>
      <c r="D80" s="7" t="s">
        <v>245</v>
      </c>
      <c r="E80" s="7" t="s">
        <v>258</v>
      </c>
      <c r="F80" s="7" t="s">
        <v>261</v>
      </c>
      <c r="G80" s="7" t="s">
        <v>24</v>
      </c>
      <c r="H80" s="7" t="n">
        <v>3</v>
      </c>
      <c r="I80" s="7" t="s">
        <v>44</v>
      </c>
      <c r="J80" s="7" t="s">
        <v>262</v>
      </c>
      <c r="K80" s="7" t="s">
        <v>263</v>
      </c>
      <c r="L80" s="7"/>
    </row>
    <row r="81" customFormat="false" ht="23.85" hidden="false" customHeight="false" outlineLevel="0" collapsed="false">
      <c r="A81" s="10" t="n">
        <v>29</v>
      </c>
      <c r="B81" s="11" t="n">
        <f aca="false">WORKDAY(README!$C$13-1,A81)</f>
        <v>46254</v>
      </c>
      <c r="C81" s="10" t="n">
        <v>6</v>
      </c>
      <c r="D81" s="10" t="s">
        <v>245</v>
      </c>
      <c r="E81" s="10" t="s">
        <v>264</v>
      </c>
      <c r="F81" s="10" t="s">
        <v>265</v>
      </c>
      <c r="G81" s="10" t="s">
        <v>24</v>
      </c>
      <c r="H81" s="10" t="n">
        <v>3</v>
      </c>
      <c r="I81" s="10" t="s">
        <v>44</v>
      </c>
      <c r="J81" s="10" t="s">
        <v>263</v>
      </c>
      <c r="K81" s="10" t="s">
        <v>266</v>
      </c>
      <c r="L81" s="10"/>
    </row>
    <row r="82" customFormat="false" ht="23.85" hidden="false" customHeight="false" outlineLevel="0" collapsed="false">
      <c r="A82" s="7" t="n">
        <v>29</v>
      </c>
      <c r="B82" s="9" t="n">
        <f aca="false">WORKDAY(README!$C$13-1,A82)</f>
        <v>46254</v>
      </c>
      <c r="C82" s="7" t="n">
        <v>6</v>
      </c>
      <c r="D82" s="7" t="s">
        <v>245</v>
      </c>
      <c r="E82" s="7" t="s">
        <v>264</v>
      </c>
      <c r="F82" s="7" t="s">
        <v>267</v>
      </c>
      <c r="G82" s="7" t="s">
        <v>15</v>
      </c>
      <c r="H82" s="7" t="n">
        <v>3</v>
      </c>
      <c r="I82" s="7" t="s">
        <v>44</v>
      </c>
      <c r="J82" s="7" t="s">
        <v>255</v>
      </c>
      <c r="K82" s="7" t="s">
        <v>268</v>
      </c>
      <c r="L82" s="7"/>
    </row>
    <row r="83" customFormat="false" ht="23.85" hidden="false" customHeight="false" outlineLevel="0" collapsed="false">
      <c r="A83" s="10" t="n">
        <v>30</v>
      </c>
      <c r="B83" s="11" t="n">
        <f aca="false">WORKDAY(README!$C$13-1,A83)</f>
        <v>46255</v>
      </c>
      <c r="C83" s="10" t="n">
        <v>6</v>
      </c>
      <c r="D83" s="10" t="s">
        <v>245</v>
      </c>
      <c r="E83" s="10" t="s">
        <v>269</v>
      </c>
      <c r="F83" s="10" t="s">
        <v>270</v>
      </c>
      <c r="G83" s="10" t="s">
        <v>18</v>
      </c>
      <c r="H83" s="10" t="n">
        <v>4</v>
      </c>
      <c r="I83" s="10" t="s">
        <v>44</v>
      </c>
      <c r="J83" s="10" t="s">
        <v>266</v>
      </c>
      <c r="K83" s="10" t="s">
        <v>271</v>
      </c>
      <c r="L83" s="10"/>
    </row>
    <row r="84" customFormat="false" ht="23.85" hidden="false" customHeight="false" outlineLevel="0" collapsed="false">
      <c r="A84" s="7" t="n">
        <v>30</v>
      </c>
      <c r="B84" s="9" t="n">
        <f aca="false">WORKDAY(README!$C$13-1,A84)</f>
        <v>46255</v>
      </c>
      <c r="C84" s="7" t="n">
        <v>6</v>
      </c>
      <c r="D84" s="7" t="s">
        <v>245</v>
      </c>
      <c r="E84" s="7" t="s">
        <v>269</v>
      </c>
      <c r="F84" s="7" t="s">
        <v>272</v>
      </c>
      <c r="G84" s="7" t="s">
        <v>15</v>
      </c>
      <c r="H84" s="7" t="n">
        <v>3</v>
      </c>
      <c r="I84" s="7" t="s">
        <v>44</v>
      </c>
      <c r="J84" s="7" t="s">
        <v>271</v>
      </c>
      <c r="K84" s="7" t="s">
        <v>273</v>
      </c>
      <c r="L84" s="7"/>
    </row>
    <row r="85" customFormat="false" ht="23.85" hidden="false" customHeight="false" outlineLevel="0" collapsed="false">
      <c r="A85" s="10" t="n">
        <v>30</v>
      </c>
      <c r="B85" s="11" t="n">
        <f aca="false">WORKDAY(README!$C$13-1,A85)</f>
        <v>46255</v>
      </c>
      <c r="C85" s="10" t="n">
        <v>6</v>
      </c>
      <c r="D85" s="10" t="s">
        <v>245</v>
      </c>
      <c r="E85" s="10" t="s">
        <v>269</v>
      </c>
      <c r="F85" s="10" t="s">
        <v>274</v>
      </c>
      <c r="G85" s="10" t="s">
        <v>21</v>
      </c>
      <c r="H85" s="10" t="n">
        <v>3</v>
      </c>
      <c r="I85" s="10" t="s">
        <v>44</v>
      </c>
      <c r="J85" s="10" t="s">
        <v>273</v>
      </c>
      <c r="K85" s="10" t="s">
        <v>275</v>
      </c>
      <c r="L85" s="10" t="s">
        <v>123</v>
      </c>
    </row>
    <row r="86" customFormat="false" ht="23.85" hidden="false" customHeight="false" outlineLevel="0" collapsed="false">
      <c r="A86" s="7" t="n">
        <v>31</v>
      </c>
      <c r="B86" s="9" t="n">
        <f aca="false">WORKDAY(README!$C$13-1,A86)</f>
        <v>46258</v>
      </c>
      <c r="C86" s="7" t="n">
        <v>7</v>
      </c>
      <c r="D86" s="7" t="s">
        <v>276</v>
      </c>
      <c r="E86" s="7" t="s">
        <v>277</v>
      </c>
      <c r="F86" s="7" t="s">
        <v>278</v>
      </c>
      <c r="G86" s="7" t="s">
        <v>18</v>
      </c>
      <c r="H86" s="7" t="n">
        <v>4</v>
      </c>
      <c r="I86" s="7" t="s">
        <v>44</v>
      </c>
      <c r="J86" s="7" t="s">
        <v>279</v>
      </c>
      <c r="K86" s="7" t="s">
        <v>280</v>
      </c>
      <c r="L86" s="7"/>
    </row>
    <row r="87" customFormat="false" ht="23.85" hidden="false" customHeight="false" outlineLevel="0" collapsed="false">
      <c r="A87" s="10" t="n">
        <v>31</v>
      </c>
      <c r="B87" s="11" t="n">
        <f aca="false">WORKDAY(README!$C$13-1,A87)</f>
        <v>46258</v>
      </c>
      <c r="C87" s="10" t="n">
        <v>7</v>
      </c>
      <c r="D87" s="10" t="s">
        <v>276</v>
      </c>
      <c r="E87" s="10" t="s">
        <v>277</v>
      </c>
      <c r="F87" s="10" t="s">
        <v>281</v>
      </c>
      <c r="G87" s="10" t="s">
        <v>15</v>
      </c>
      <c r="H87" s="10" t="n">
        <v>4</v>
      </c>
      <c r="I87" s="10" t="s">
        <v>44</v>
      </c>
      <c r="J87" s="10" t="s">
        <v>280</v>
      </c>
      <c r="K87" s="10" t="s">
        <v>282</v>
      </c>
      <c r="L87" s="10"/>
    </row>
    <row r="88" customFormat="false" ht="23.85" hidden="false" customHeight="false" outlineLevel="0" collapsed="false">
      <c r="A88" s="7" t="n">
        <v>32</v>
      </c>
      <c r="B88" s="9" t="n">
        <f aca="false">WORKDAY(README!$C$13-1,A88)</f>
        <v>46259</v>
      </c>
      <c r="C88" s="7" t="n">
        <v>7</v>
      </c>
      <c r="D88" s="7" t="s">
        <v>276</v>
      </c>
      <c r="E88" s="7" t="s">
        <v>283</v>
      </c>
      <c r="F88" s="7" t="s">
        <v>284</v>
      </c>
      <c r="G88" s="7" t="s">
        <v>15</v>
      </c>
      <c r="H88" s="7" t="n">
        <v>3</v>
      </c>
      <c r="I88" s="7" t="s">
        <v>44</v>
      </c>
      <c r="J88" s="7" t="s">
        <v>282</v>
      </c>
      <c r="K88" s="7" t="s">
        <v>285</v>
      </c>
      <c r="L88" s="7" t="s">
        <v>286</v>
      </c>
    </row>
    <row r="89" customFormat="false" ht="23.85" hidden="false" customHeight="false" outlineLevel="0" collapsed="false">
      <c r="A89" s="10" t="n">
        <v>32</v>
      </c>
      <c r="B89" s="11" t="n">
        <f aca="false">WORKDAY(README!$C$13-1,A89)</f>
        <v>46259</v>
      </c>
      <c r="C89" s="10" t="n">
        <v>7</v>
      </c>
      <c r="D89" s="10" t="s">
        <v>276</v>
      </c>
      <c r="E89" s="10" t="s">
        <v>283</v>
      </c>
      <c r="F89" s="10" t="s">
        <v>287</v>
      </c>
      <c r="G89" s="10" t="s">
        <v>21</v>
      </c>
      <c r="H89" s="10" t="n">
        <v>3</v>
      </c>
      <c r="I89" s="10" t="s">
        <v>44</v>
      </c>
      <c r="J89" s="10" t="s">
        <v>285</v>
      </c>
      <c r="K89" s="10" t="s">
        <v>288</v>
      </c>
      <c r="L89" s="10" t="s">
        <v>123</v>
      </c>
    </row>
    <row r="90" customFormat="false" ht="23.85" hidden="false" customHeight="false" outlineLevel="0" collapsed="false">
      <c r="A90" s="7" t="n">
        <v>33</v>
      </c>
      <c r="B90" s="9" t="n">
        <f aca="false">WORKDAY(README!$C$13-1,A90)</f>
        <v>46260</v>
      </c>
      <c r="C90" s="7" t="n">
        <v>7</v>
      </c>
      <c r="D90" s="7" t="s">
        <v>276</v>
      </c>
      <c r="E90" s="7" t="s">
        <v>289</v>
      </c>
      <c r="F90" s="7" t="s">
        <v>290</v>
      </c>
      <c r="G90" s="7" t="s">
        <v>18</v>
      </c>
      <c r="H90" s="7" t="n">
        <v>4</v>
      </c>
      <c r="I90" s="7" t="s">
        <v>44</v>
      </c>
      <c r="J90" s="7" t="s">
        <v>282</v>
      </c>
      <c r="K90" s="7" t="s">
        <v>291</v>
      </c>
      <c r="L90" s="7"/>
    </row>
    <row r="91" customFormat="false" ht="23.85" hidden="false" customHeight="false" outlineLevel="0" collapsed="false">
      <c r="A91" s="10" t="n">
        <v>33</v>
      </c>
      <c r="B91" s="11" t="n">
        <f aca="false">WORKDAY(README!$C$13-1,A91)</f>
        <v>46260</v>
      </c>
      <c r="C91" s="10" t="n">
        <v>7</v>
      </c>
      <c r="D91" s="10" t="s">
        <v>276</v>
      </c>
      <c r="E91" s="10" t="s">
        <v>289</v>
      </c>
      <c r="F91" s="10" t="s">
        <v>292</v>
      </c>
      <c r="G91" s="10" t="s">
        <v>15</v>
      </c>
      <c r="H91" s="10" t="n">
        <v>2</v>
      </c>
      <c r="I91" s="10" t="s">
        <v>44</v>
      </c>
      <c r="J91" s="10" t="s">
        <v>291</v>
      </c>
      <c r="K91" s="10" t="s">
        <v>293</v>
      </c>
      <c r="L91" s="10"/>
    </row>
    <row r="92" customFormat="false" ht="23.85" hidden="false" customHeight="false" outlineLevel="0" collapsed="false">
      <c r="A92" s="7" t="n">
        <v>34</v>
      </c>
      <c r="B92" s="9" t="n">
        <f aca="false">WORKDAY(README!$C$13-1,A92)</f>
        <v>46261</v>
      </c>
      <c r="C92" s="7" t="n">
        <v>7</v>
      </c>
      <c r="D92" s="7" t="s">
        <v>276</v>
      </c>
      <c r="E92" s="7" t="s">
        <v>294</v>
      </c>
      <c r="F92" s="7" t="s">
        <v>295</v>
      </c>
      <c r="G92" s="7" t="s">
        <v>15</v>
      </c>
      <c r="H92" s="7" t="n">
        <v>4</v>
      </c>
      <c r="I92" s="7" t="s">
        <v>44</v>
      </c>
      <c r="J92" s="7" t="s">
        <v>296</v>
      </c>
      <c r="K92" s="7" t="s">
        <v>297</v>
      </c>
      <c r="L92" s="7" t="s">
        <v>298</v>
      </c>
    </row>
    <row r="93" customFormat="false" ht="23.85" hidden="false" customHeight="false" outlineLevel="0" collapsed="false">
      <c r="A93" s="10" t="n">
        <v>34</v>
      </c>
      <c r="B93" s="11" t="n">
        <f aca="false">WORKDAY(README!$C$13-1,A93)</f>
        <v>46261</v>
      </c>
      <c r="C93" s="10" t="n">
        <v>7</v>
      </c>
      <c r="D93" s="10" t="s">
        <v>276</v>
      </c>
      <c r="E93" s="10" t="s">
        <v>294</v>
      </c>
      <c r="F93" s="10" t="s">
        <v>299</v>
      </c>
      <c r="G93" s="10" t="s">
        <v>21</v>
      </c>
      <c r="H93" s="10" t="n">
        <v>3</v>
      </c>
      <c r="I93" s="10" t="s">
        <v>44</v>
      </c>
      <c r="J93" s="10" t="s">
        <v>297</v>
      </c>
      <c r="K93" s="10" t="s">
        <v>300</v>
      </c>
      <c r="L93" s="10" t="s">
        <v>123</v>
      </c>
    </row>
    <row r="94" customFormat="false" ht="23.85" hidden="false" customHeight="false" outlineLevel="0" collapsed="false">
      <c r="A94" s="7" t="n">
        <v>35</v>
      </c>
      <c r="B94" s="9" t="n">
        <f aca="false">WORKDAY(README!$C$13-1,A94)</f>
        <v>46262</v>
      </c>
      <c r="C94" s="7" t="n">
        <v>7</v>
      </c>
      <c r="D94" s="7" t="s">
        <v>276</v>
      </c>
      <c r="E94" s="7" t="s">
        <v>301</v>
      </c>
      <c r="F94" s="7" t="s">
        <v>302</v>
      </c>
      <c r="G94" s="7" t="s">
        <v>18</v>
      </c>
      <c r="H94" s="7" t="n">
        <v>4</v>
      </c>
      <c r="I94" s="7" t="s">
        <v>44</v>
      </c>
      <c r="J94" s="7" t="s">
        <v>300</v>
      </c>
      <c r="K94" s="7" t="s">
        <v>303</v>
      </c>
      <c r="L94" s="7"/>
    </row>
    <row r="95" customFormat="false" ht="23.85" hidden="false" customHeight="false" outlineLevel="0" collapsed="false">
      <c r="A95" s="10" t="n">
        <v>35</v>
      </c>
      <c r="B95" s="11" t="n">
        <f aca="false">WORKDAY(README!$C$13-1,A95)</f>
        <v>46262</v>
      </c>
      <c r="C95" s="10" t="n">
        <v>7</v>
      </c>
      <c r="D95" s="10" t="s">
        <v>276</v>
      </c>
      <c r="E95" s="10" t="s">
        <v>301</v>
      </c>
      <c r="F95" s="10" t="s">
        <v>304</v>
      </c>
      <c r="G95" s="10" t="s">
        <v>15</v>
      </c>
      <c r="H95" s="10" t="n">
        <v>3</v>
      </c>
      <c r="I95" s="10" t="s">
        <v>44</v>
      </c>
      <c r="J95" s="10" t="s">
        <v>300</v>
      </c>
      <c r="K95" s="10" t="s">
        <v>305</v>
      </c>
      <c r="L95" s="10"/>
    </row>
    <row r="96" customFormat="false" ht="23.85" hidden="false" customHeight="false" outlineLevel="0" collapsed="false">
      <c r="A96" s="7" t="n">
        <v>36</v>
      </c>
      <c r="B96" s="9" t="n">
        <f aca="false">WORKDAY(README!$C$13-1,A96)</f>
        <v>46265</v>
      </c>
      <c r="C96" s="7" t="n">
        <v>8</v>
      </c>
      <c r="D96" s="7" t="s">
        <v>306</v>
      </c>
      <c r="E96" s="7" t="s">
        <v>307</v>
      </c>
      <c r="F96" s="7" t="s">
        <v>308</v>
      </c>
      <c r="G96" s="7" t="s">
        <v>24</v>
      </c>
      <c r="H96" s="7" t="n">
        <v>3</v>
      </c>
      <c r="I96" s="7" t="s">
        <v>44</v>
      </c>
      <c r="J96" s="7" t="s">
        <v>305</v>
      </c>
      <c r="K96" s="7" t="s">
        <v>309</v>
      </c>
      <c r="L96" s="7"/>
    </row>
    <row r="97" customFormat="false" ht="23.85" hidden="false" customHeight="false" outlineLevel="0" collapsed="false">
      <c r="A97" s="10" t="n">
        <v>36</v>
      </c>
      <c r="B97" s="11" t="n">
        <f aca="false">WORKDAY(README!$C$13-1,A97)</f>
        <v>46265</v>
      </c>
      <c r="C97" s="10" t="n">
        <v>8</v>
      </c>
      <c r="D97" s="10" t="s">
        <v>306</v>
      </c>
      <c r="E97" s="10" t="s">
        <v>307</v>
      </c>
      <c r="F97" s="10" t="s">
        <v>310</v>
      </c>
      <c r="G97" s="10" t="s">
        <v>24</v>
      </c>
      <c r="H97" s="10" t="n">
        <v>3</v>
      </c>
      <c r="I97" s="10" t="s">
        <v>44</v>
      </c>
      <c r="J97" s="10" t="s">
        <v>151</v>
      </c>
      <c r="K97" s="10" t="s">
        <v>311</v>
      </c>
      <c r="L97" s="10"/>
    </row>
    <row r="98" customFormat="false" ht="23.85" hidden="false" customHeight="false" outlineLevel="0" collapsed="false">
      <c r="A98" s="7" t="n">
        <v>37</v>
      </c>
      <c r="B98" s="9" t="n">
        <f aca="false">WORKDAY(README!$C$13-1,A98)</f>
        <v>46266</v>
      </c>
      <c r="C98" s="7" t="n">
        <v>8</v>
      </c>
      <c r="D98" s="7" t="s">
        <v>306</v>
      </c>
      <c r="E98" s="7" t="s">
        <v>312</v>
      </c>
      <c r="F98" s="7" t="s">
        <v>313</v>
      </c>
      <c r="G98" s="7" t="s">
        <v>24</v>
      </c>
      <c r="H98" s="7" t="n">
        <v>3</v>
      </c>
      <c r="I98" s="7" t="s">
        <v>44</v>
      </c>
      <c r="J98" s="7" t="s">
        <v>311</v>
      </c>
      <c r="K98" s="7" t="s">
        <v>314</v>
      </c>
      <c r="L98" s="7" t="s">
        <v>315</v>
      </c>
    </row>
    <row r="99" customFormat="false" ht="23.85" hidden="false" customHeight="false" outlineLevel="0" collapsed="false">
      <c r="A99" s="10" t="n">
        <v>37</v>
      </c>
      <c r="B99" s="11" t="n">
        <f aca="false">WORKDAY(README!$C$13-1,A99)</f>
        <v>46266</v>
      </c>
      <c r="C99" s="10" t="n">
        <v>8</v>
      </c>
      <c r="D99" s="10" t="s">
        <v>306</v>
      </c>
      <c r="E99" s="10" t="s">
        <v>312</v>
      </c>
      <c r="F99" s="10" t="s">
        <v>316</v>
      </c>
      <c r="G99" s="10" t="s">
        <v>18</v>
      </c>
      <c r="H99" s="10" t="n">
        <v>3</v>
      </c>
      <c r="I99" s="10" t="s">
        <v>44</v>
      </c>
      <c r="J99" s="10" t="s">
        <v>314</v>
      </c>
      <c r="K99" s="10" t="s">
        <v>317</v>
      </c>
      <c r="L99" s="10"/>
    </row>
    <row r="100" customFormat="false" ht="15" hidden="false" customHeight="false" outlineLevel="0" collapsed="false">
      <c r="A100" s="7" t="n">
        <v>38</v>
      </c>
      <c r="B100" s="9" t="n">
        <f aca="false">WORKDAY(README!$C$13-1,A100)</f>
        <v>46267</v>
      </c>
      <c r="C100" s="7" t="n">
        <v>8</v>
      </c>
      <c r="D100" s="7" t="s">
        <v>306</v>
      </c>
      <c r="E100" s="7" t="s">
        <v>318</v>
      </c>
      <c r="F100" s="7" t="s">
        <v>319</v>
      </c>
      <c r="G100" s="7" t="s">
        <v>15</v>
      </c>
      <c r="H100" s="7" t="n">
        <v>3</v>
      </c>
      <c r="I100" s="7" t="s">
        <v>44</v>
      </c>
      <c r="J100" s="7" t="s">
        <v>317</v>
      </c>
      <c r="K100" s="7" t="s">
        <v>320</v>
      </c>
      <c r="L100" s="7"/>
    </row>
    <row r="101" customFormat="false" ht="23.85" hidden="false" customHeight="false" outlineLevel="0" collapsed="false">
      <c r="A101" s="10" t="n">
        <v>38</v>
      </c>
      <c r="B101" s="11" t="n">
        <f aca="false">WORKDAY(README!$C$13-1,A101)</f>
        <v>46267</v>
      </c>
      <c r="C101" s="10" t="n">
        <v>8</v>
      </c>
      <c r="D101" s="10" t="s">
        <v>306</v>
      </c>
      <c r="E101" s="10" t="s">
        <v>318</v>
      </c>
      <c r="F101" s="10" t="s">
        <v>321</v>
      </c>
      <c r="G101" s="10" t="s">
        <v>18</v>
      </c>
      <c r="H101" s="10" t="n">
        <v>3</v>
      </c>
      <c r="I101" s="10" t="s">
        <v>44</v>
      </c>
      <c r="J101" s="10" t="s">
        <v>320</v>
      </c>
      <c r="K101" s="10" t="s">
        <v>322</v>
      </c>
      <c r="L101" s="10"/>
    </row>
    <row r="102" customFormat="false" ht="23.85" hidden="false" customHeight="false" outlineLevel="0" collapsed="false">
      <c r="A102" s="7" t="n">
        <v>38</v>
      </c>
      <c r="B102" s="9" t="n">
        <f aca="false">WORKDAY(README!$C$13-1,A102)</f>
        <v>46267</v>
      </c>
      <c r="C102" s="7" t="n">
        <v>8</v>
      </c>
      <c r="D102" s="7" t="s">
        <v>306</v>
      </c>
      <c r="E102" s="7" t="s">
        <v>318</v>
      </c>
      <c r="F102" s="7" t="s">
        <v>323</v>
      </c>
      <c r="G102" s="7" t="s">
        <v>21</v>
      </c>
      <c r="H102" s="7" t="n">
        <v>2</v>
      </c>
      <c r="I102" s="7" t="s">
        <v>44</v>
      </c>
      <c r="J102" s="7" t="s">
        <v>322</v>
      </c>
      <c r="K102" s="7" t="s">
        <v>324</v>
      </c>
      <c r="L102" s="7"/>
    </row>
    <row r="103" customFormat="false" ht="23.85" hidden="false" customHeight="false" outlineLevel="0" collapsed="false">
      <c r="A103" s="10" t="n">
        <v>39</v>
      </c>
      <c r="B103" s="11" t="n">
        <f aca="false">WORKDAY(README!$C$13-1,A103)</f>
        <v>46268</v>
      </c>
      <c r="C103" s="10" t="n">
        <v>8</v>
      </c>
      <c r="D103" s="10" t="s">
        <v>306</v>
      </c>
      <c r="E103" s="10" t="s">
        <v>325</v>
      </c>
      <c r="F103" s="10" t="s">
        <v>326</v>
      </c>
      <c r="G103" s="10" t="s">
        <v>18</v>
      </c>
      <c r="H103" s="10" t="n">
        <v>3</v>
      </c>
      <c r="I103" s="10" t="s">
        <v>44</v>
      </c>
      <c r="J103" s="10" t="s">
        <v>324</v>
      </c>
      <c r="K103" s="10" t="s">
        <v>327</v>
      </c>
      <c r="L103" s="10"/>
    </row>
    <row r="104" customFormat="false" ht="23.85" hidden="false" customHeight="false" outlineLevel="0" collapsed="false">
      <c r="A104" s="7" t="n">
        <v>39</v>
      </c>
      <c r="B104" s="9" t="n">
        <f aca="false">WORKDAY(README!$C$13-1,A104)</f>
        <v>46268</v>
      </c>
      <c r="C104" s="7" t="n">
        <v>8</v>
      </c>
      <c r="D104" s="7" t="s">
        <v>306</v>
      </c>
      <c r="E104" s="7" t="s">
        <v>325</v>
      </c>
      <c r="F104" s="7" t="s">
        <v>328</v>
      </c>
      <c r="G104" s="7" t="s">
        <v>21</v>
      </c>
      <c r="H104" s="7" t="n">
        <v>3</v>
      </c>
      <c r="I104" s="7" t="s">
        <v>44</v>
      </c>
      <c r="J104" s="7" t="s">
        <v>327</v>
      </c>
      <c r="K104" s="7" t="s">
        <v>329</v>
      </c>
      <c r="L104" s="7" t="s">
        <v>330</v>
      </c>
    </row>
    <row r="105" customFormat="false" ht="23.85" hidden="false" customHeight="false" outlineLevel="0" collapsed="false">
      <c r="A105" s="10" t="n">
        <v>40</v>
      </c>
      <c r="B105" s="11" t="n">
        <f aca="false">WORKDAY(README!$C$13-1,A105)</f>
        <v>46269</v>
      </c>
      <c r="C105" s="10" t="n">
        <v>8</v>
      </c>
      <c r="D105" s="10" t="s">
        <v>306</v>
      </c>
      <c r="E105" s="10" t="s">
        <v>331</v>
      </c>
      <c r="F105" s="10" t="s">
        <v>332</v>
      </c>
      <c r="G105" s="10" t="s">
        <v>15</v>
      </c>
      <c r="H105" s="10" t="n">
        <v>2</v>
      </c>
      <c r="I105" s="10" t="s">
        <v>44</v>
      </c>
      <c r="J105" s="10" t="s">
        <v>329</v>
      </c>
      <c r="K105" s="10" t="s">
        <v>333</v>
      </c>
      <c r="L105" s="10" t="s">
        <v>47</v>
      </c>
    </row>
    <row r="106" customFormat="false" ht="23.85" hidden="false" customHeight="false" outlineLevel="0" collapsed="false">
      <c r="A106" s="7" t="n">
        <v>40</v>
      </c>
      <c r="B106" s="9" t="n">
        <f aca="false">WORKDAY(README!$C$13-1,A106)</f>
        <v>46269</v>
      </c>
      <c r="C106" s="7" t="n">
        <v>8</v>
      </c>
      <c r="D106" s="7" t="s">
        <v>306</v>
      </c>
      <c r="E106" s="7" t="s">
        <v>331</v>
      </c>
      <c r="F106" s="7" t="s">
        <v>334</v>
      </c>
      <c r="G106" s="7" t="s">
        <v>18</v>
      </c>
      <c r="H106" s="7" t="n">
        <v>4</v>
      </c>
      <c r="I106" s="7" t="s">
        <v>44</v>
      </c>
      <c r="J106" s="7" t="s">
        <v>333</v>
      </c>
      <c r="K106" s="7" t="s">
        <v>335</v>
      </c>
      <c r="L106" s="7"/>
    </row>
    <row r="107" customFormat="false" ht="23.85" hidden="false" customHeight="false" outlineLevel="0" collapsed="false">
      <c r="A107" s="10" t="n">
        <v>41</v>
      </c>
      <c r="B107" s="11" t="n">
        <f aca="false">WORKDAY(README!$C$13-1,A107)</f>
        <v>46272</v>
      </c>
      <c r="C107" s="10" t="n">
        <v>9</v>
      </c>
      <c r="D107" s="10" t="s">
        <v>336</v>
      </c>
      <c r="E107" s="10" t="s">
        <v>337</v>
      </c>
      <c r="F107" s="10" t="s">
        <v>338</v>
      </c>
      <c r="G107" s="10" t="s">
        <v>15</v>
      </c>
      <c r="H107" s="10" t="n">
        <v>4</v>
      </c>
      <c r="I107" s="10" t="s">
        <v>44</v>
      </c>
      <c r="J107" s="10" t="s">
        <v>339</v>
      </c>
      <c r="K107" s="10" t="s">
        <v>340</v>
      </c>
      <c r="L107" s="10"/>
    </row>
    <row r="108" customFormat="false" ht="23.85" hidden="false" customHeight="false" outlineLevel="0" collapsed="false">
      <c r="A108" s="7" t="n">
        <v>41</v>
      </c>
      <c r="B108" s="9" t="n">
        <f aca="false">WORKDAY(README!$C$13-1,A108)</f>
        <v>46272</v>
      </c>
      <c r="C108" s="7" t="n">
        <v>9</v>
      </c>
      <c r="D108" s="7" t="s">
        <v>336</v>
      </c>
      <c r="E108" s="7" t="s">
        <v>337</v>
      </c>
      <c r="F108" s="7" t="s">
        <v>341</v>
      </c>
      <c r="G108" s="7" t="s">
        <v>18</v>
      </c>
      <c r="H108" s="7" t="n">
        <v>3</v>
      </c>
      <c r="I108" s="7" t="s">
        <v>44</v>
      </c>
      <c r="J108" s="7" t="s">
        <v>342</v>
      </c>
      <c r="K108" s="7" t="s">
        <v>343</v>
      </c>
      <c r="L108" s="7"/>
    </row>
    <row r="109" customFormat="false" ht="23.85" hidden="false" customHeight="false" outlineLevel="0" collapsed="false">
      <c r="A109" s="10" t="n">
        <v>42</v>
      </c>
      <c r="B109" s="11" t="n">
        <f aca="false">WORKDAY(README!$C$13-1,A109)</f>
        <v>46273</v>
      </c>
      <c r="C109" s="10" t="n">
        <v>9</v>
      </c>
      <c r="D109" s="10" t="s">
        <v>336</v>
      </c>
      <c r="E109" s="10" t="s">
        <v>344</v>
      </c>
      <c r="F109" s="10" t="s">
        <v>345</v>
      </c>
      <c r="G109" s="10" t="s">
        <v>24</v>
      </c>
      <c r="H109" s="10" t="n">
        <v>4</v>
      </c>
      <c r="I109" s="10" t="s">
        <v>44</v>
      </c>
      <c r="J109" s="10" t="s">
        <v>333</v>
      </c>
      <c r="K109" s="10" t="s">
        <v>346</v>
      </c>
      <c r="L109" s="10"/>
    </row>
    <row r="110" customFormat="false" ht="23.85" hidden="false" customHeight="false" outlineLevel="0" collapsed="false">
      <c r="A110" s="7" t="n">
        <v>42</v>
      </c>
      <c r="B110" s="9" t="n">
        <f aca="false">WORKDAY(README!$C$13-1,A110)</f>
        <v>46273</v>
      </c>
      <c r="C110" s="7" t="n">
        <v>9</v>
      </c>
      <c r="D110" s="7" t="s">
        <v>336</v>
      </c>
      <c r="E110" s="7" t="s">
        <v>344</v>
      </c>
      <c r="F110" s="7" t="s">
        <v>347</v>
      </c>
      <c r="G110" s="7" t="s">
        <v>24</v>
      </c>
      <c r="H110" s="7" t="n">
        <v>4</v>
      </c>
      <c r="I110" s="7" t="s">
        <v>44</v>
      </c>
      <c r="J110" s="7" t="s">
        <v>329</v>
      </c>
      <c r="K110" s="7" t="s">
        <v>348</v>
      </c>
      <c r="L110" s="7"/>
    </row>
    <row r="111" customFormat="false" ht="23.85" hidden="false" customHeight="false" outlineLevel="0" collapsed="false">
      <c r="A111" s="10" t="n">
        <v>43</v>
      </c>
      <c r="B111" s="11" t="n">
        <f aca="false">WORKDAY(README!$C$13-1,A111)</f>
        <v>46274</v>
      </c>
      <c r="C111" s="10" t="n">
        <v>9</v>
      </c>
      <c r="D111" s="10" t="s">
        <v>336</v>
      </c>
      <c r="E111" s="10" t="s">
        <v>349</v>
      </c>
      <c r="F111" s="10" t="s">
        <v>350</v>
      </c>
      <c r="G111" s="10" t="s">
        <v>15</v>
      </c>
      <c r="H111" s="10" t="n">
        <v>2</v>
      </c>
      <c r="I111" s="10" t="s">
        <v>44</v>
      </c>
      <c r="J111" s="10" t="s">
        <v>351</v>
      </c>
      <c r="K111" s="10" t="s">
        <v>352</v>
      </c>
      <c r="L111" s="10" t="s">
        <v>211</v>
      </c>
    </row>
    <row r="112" customFormat="false" ht="23.85" hidden="false" customHeight="false" outlineLevel="0" collapsed="false">
      <c r="A112" s="7" t="n">
        <v>43</v>
      </c>
      <c r="B112" s="9" t="n">
        <f aca="false">WORKDAY(README!$C$13-1,A112)</f>
        <v>46274</v>
      </c>
      <c r="C112" s="7" t="n">
        <v>9</v>
      </c>
      <c r="D112" s="7" t="s">
        <v>336</v>
      </c>
      <c r="E112" s="7" t="s">
        <v>349</v>
      </c>
      <c r="F112" s="7" t="s">
        <v>353</v>
      </c>
      <c r="G112" s="7" t="s">
        <v>18</v>
      </c>
      <c r="H112" s="7" t="n">
        <v>2</v>
      </c>
      <c r="I112" s="7" t="s">
        <v>44</v>
      </c>
      <c r="J112" s="7" t="s">
        <v>352</v>
      </c>
      <c r="K112" s="7" t="s">
        <v>354</v>
      </c>
      <c r="L112" s="7" t="s">
        <v>149</v>
      </c>
    </row>
  </sheetData>
  <autoFilter ref="A1:L112"/>
  <conditionalFormatting sqref="I2:I112">
    <cfRule type="cellIs" priority="2" operator="equal" aboveAverage="0" equalAverage="0" bottom="0" percent="0" rank="0" text="" dxfId="4">
      <formula>"Complete"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"Not Started"</formula>
    </cfRule>
  </conditionalFormatting>
  <dataValidations count="2">
    <dataValidation allowBlank="true" errorStyle="stop" operator="between" showDropDown="false" showErrorMessage="false" showInputMessage="false" sqref="G2:G112" type="list">
      <formula1>"Rohan,Shweta,SAP Security SME,Business/Consulting Lead"</formula1>
      <formula2>0</formula2>
    </dataValidation>
    <dataValidation allowBlank="true" errorStyle="stop" operator="between" showDropDown="false" showErrorMessage="false" showInputMessage="false" sqref="I2:I112" type="list">
      <formula1>"Not Started,In Progress,Blocked,Complete"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8" t="s">
        <v>355</v>
      </c>
      <c r="B1" s="8" t="s">
        <v>356</v>
      </c>
      <c r="C1" s="8" t="s">
        <v>357</v>
      </c>
      <c r="D1" s="8" t="s">
        <v>358</v>
      </c>
      <c r="E1" s="8" t="s">
        <v>359</v>
      </c>
      <c r="F1" s="8" t="s">
        <v>360</v>
      </c>
      <c r="G1" s="8" t="s">
        <v>37</v>
      </c>
      <c r="H1" s="8" t="s">
        <v>35</v>
      </c>
      <c r="I1" s="8" t="s">
        <v>361</v>
      </c>
    </row>
    <row r="2" customFormat="false" ht="23.85" hidden="false" customHeight="false" outlineLevel="0" collapsed="false">
      <c r="A2" s="7" t="n">
        <v>1</v>
      </c>
      <c r="B2" s="7" t="s">
        <v>362</v>
      </c>
      <c r="C2" s="7" t="s">
        <v>363</v>
      </c>
      <c r="D2" s="7" t="s">
        <v>364</v>
      </c>
      <c r="E2" s="7" t="s">
        <v>365</v>
      </c>
      <c r="F2" s="7" t="s">
        <v>366</v>
      </c>
      <c r="G2" s="7" t="s">
        <v>44</v>
      </c>
      <c r="H2" s="7" t="s">
        <v>15</v>
      </c>
      <c r="I2" s="7"/>
    </row>
    <row r="3" customFormat="false" ht="23.85" hidden="false" customHeight="false" outlineLevel="0" collapsed="false">
      <c r="A3" s="10" t="n">
        <v>2</v>
      </c>
      <c r="B3" s="10" t="s">
        <v>362</v>
      </c>
      <c r="C3" s="10" t="s">
        <v>367</v>
      </c>
      <c r="D3" s="10" t="s">
        <v>368</v>
      </c>
      <c r="E3" s="10" t="s">
        <v>365</v>
      </c>
      <c r="F3" s="10" t="s">
        <v>366</v>
      </c>
      <c r="G3" s="10" t="s">
        <v>44</v>
      </c>
      <c r="H3" s="10" t="s">
        <v>15</v>
      </c>
      <c r="I3" s="10"/>
    </row>
    <row r="4" customFormat="false" ht="23.85" hidden="false" customHeight="false" outlineLevel="0" collapsed="false">
      <c r="A4" s="7" t="n">
        <v>3</v>
      </c>
      <c r="B4" s="7" t="s">
        <v>362</v>
      </c>
      <c r="C4" s="7" t="s">
        <v>369</v>
      </c>
      <c r="D4" s="7" t="s">
        <v>370</v>
      </c>
      <c r="E4" s="7" t="s">
        <v>371</v>
      </c>
      <c r="F4" s="7" t="s">
        <v>366</v>
      </c>
      <c r="G4" s="7" t="s">
        <v>44</v>
      </c>
      <c r="H4" s="7" t="s">
        <v>18</v>
      </c>
      <c r="I4" s="7"/>
    </row>
    <row r="5" customFormat="false" ht="23.85" hidden="false" customHeight="false" outlineLevel="0" collapsed="false">
      <c r="A5" s="10" t="n">
        <v>4</v>
      </c>
      <c r="B5" s="10" t="s">
        <v>362</v>
      </c>
      <c r="C5" s="10" t="s">
        <v>372</v>
      </c>
      <c r="D5" s="10" t="s">
        <v>373</v>
      </c>
      <c r="E5" s="10" t="s">
        <v>374</v>
      </c>
      <c r="F5" s="10" t="s">
        <v>375</v>
      </c>
      <c r="G5" s="10" t="s">
        <v>44</v>
      </c>
      <c r="H5" s="10" t="s">
        <v>18</v>
      </c>
      <c r="I5" s="10"/>
    </row>
    <row r="6" customFormat="false" ht="35.05" hidden="false" customHeight="false" outlineLevel="0" collapsed="false">
      <c r="A6" s="7" t="n">
        <v>5</v>
      </c>
      <c r="B6" s="7" t="s">
        <v>376</v>
      </c>
      <c r="C6" s="7" t="s">
        <v>377</v>
      </c>
      <c r="D6" s="7" t="s">
        <v>378</v>
      </c>
      <c r="E6" s="7" t="s">
        <v>379</v>
      </c>
      <c r="F6" s="7" t="s">
        <v>366</v>
      </c>
      <c r="G6" s="7" t="s">
        <v>44</v>
      </c>
      <c r="H6" s="7" t="s">
        <v>21</v>
      </c>
      <c r="I6" s="7"/>
    </row>
    <row r="7" customFormat="false" ht="23.85" hidden="false" customHeight="false" outlineLevel="0" collapsed="false">
      <c r="A7" s="10" t="n">
        <v>6</v>
      </c>
      <c r="B7" s="10" t="s">
        <v>376</v>
      </c>
      <c r="C7" s="10" t="s">
        <v>380</v>
      </c>
      <c r="D7" s="10" t="s">
        <v>381</v>
      </c>
      <c r="E7" s="10" t="s">
        <v>21</v>
      </c>
      <c r="F7" s="10" t="s">
        <v>366</v>
      </c>
      <c r="G7" s="10" t="s">
        <v>44</v>
      </c>
      <c r="H7" s="10" t="s">
        <v>21</v>
      </c>
      <c r="I7" s="10"/>
    </row>
    <row r="8" customFormat="false" ht="23.85" hidden="false" customHeight="false" outlineLevel="0" collapsed="false">
      <c r="A8" s="7" t="n">
        <v>7</v>
      </c>
      <c r="B8" s="7" t="s">
        <v>376</v>
      </c>
      <c r="C8" s="7" t="s">
        <v>382</v>
      </c>
      <c r="D8" s="7" t="s">
        <v>383</v>
      </c>
      <c r="E8" s="7" t="s">
        <v>21</v>
      </c>
      <c r="F8" s="7" t="s">
        <v>366</v>
      </c>
      <c r="G8" s="7" t="s">
        <v>44</v>
      </c>
      <c r="H8" s="7" t="s">
        <v>21</v>
      </c>
      <c r="I8" s="7"/>
    </row>
    <row r="9" customFormat="false" ht="23.85" hidden="false" customHeight="false" outlineLevel="0" collapsed="false">
      <c r="A9" s="10" t="n">
        <v>8</v>
      </c>
      <c r="B9" s="10" t="s">
        <v>384</v>
      </c>
      <c r="C9" s="10" t="s">
        <v>385</v>
      </c>
      <c r="D9" s="10" t="s">
        <v>386</v>
      </c>
      <c r="E9" s="10" t="s">
        <v>21</v>
      </c>
      <c r="F9" s="10" t="s">
        <v>366</v>
      </c>
      <c r="G9" s="10" t="s">
        <v>44</v>
      </c>
      <c r="H9" s="10" t="s">
        <v>18</v>
      </c>
      <c r="I9" s="10"/>
    </row>
    <row r="10" customFormat="false" ht="23.85" hidden="false" customHeight="false" outlineLevel="0" collapsed="false">
      <c r="A10" s="7" t="n">
        <v>9</v>
      </c>
      <c r="B10" s="7" t="s">
        <v>384</v>
      </c>
      <c r="C10" s="7" t="s">
        <v>387</v>
      </c>
      <c r="D10" s="7" t="s">
        <v>388</v>
      </c>
      <c r="E10" s="7" t="s">
        <v>21</v>
      </c>
      <c r="F10" s="7" t="s">
        <v>366</v>
      </c>
      <c r="G10" s="7" t="s">
        <v>44</v>
      </c>
      <c r="H10" s="7" t="s">
        <v>18</v>
      </c>
      <c r="I10" s="7"/>
    </row>
    <row r="11" customFormat="false" ht="23.85" hidden="false" customHeight="false" outlineLevel="0" collapsed="false">
      <c r="A11" s="10" t="n">
        <v>10</v>
      </c>
      <c r="B11" s="10" t="s">
        <v>384</v>
      </c>
      <c r="C11" s="10" t="s">
        <v>389</v>
      </c>
      <c r="D11" s="10" t="s">
        <v>390</v>
      </c>
      <c r="E11" s="10" t="s">
        <v>391</v>
      </c>
      <c r="F11" s="10" t="s">
        <v>366</v>
      </c>
      <c r="G11" s="10" t="s">
        <v>44</v>
      </c>
      <c r="H11" s="10" t="s">
        <v>15</v>
      </c>
      <c r="I11" s="10"/>
    </row>
    <row r="12" customFormat="false" ht="23.85" hidden="false" customHeight="false" outlineLevel="0" collapsed="false">
      <c r="A12" s="7" t="n">
        <v>11</v>
      </c>
      <c r="B12" s="7" t="s">
        <v>384</v>
      </c>
      <c r="C12" s="7" t="s">
        <v>392</v>
      </c>
      <c r="D12" s="7" t="s">
        <v>393</v>
      </c>
      <c r="E12" s="7" t="s">
        <v>394</v>
      </c>
      <c r="F12" s="7" t="s">
        <v>375</v>
      </c>
      <c r="G12" s="7" t="s">
        <v>44</v>
      </c>
      <c r="H12" s="7" t="s">
        <v>18</v>
      </c>
      <c r="I12" s="7"/>
    </row>
    <row r="13" customFormat="false" ht="23.85" hidden="false" customHeight="false" outlineLevel="0" collapsed="false">
      <c r="A13" s="10" t="n">
        <v>12</v>
      </c>
      <c r="B13" s="10" t="s">
        <v>395</v>
      </c>
      <c r="C13" s="10" t="s">
        <v>396</v>
      </c>
      <c r="D13" s="10" t="s">
        <v>397</v>
      </c>
      <c r="E13" s="10" t="s">
        <v>21</v>
      </c>
      <c r="F13" s="10" t="s">
        <v>375</v>
      </c>
      <c r="G13" s="10" t="s">
        <v>44</v>
      </c>
      <c r="H13" s="10" t="s">
        <v>15</v>
      </c>
      <c r="I13" s="10"/>
    </row>
    <row r="14" customFormat="false" ht="23.85" hidden="false" customHeight="false" outlineLevel="0" collapsed="false">
      <c r="A14" s="7" t="n">
        <v>13</v>
      </c>
      <c r="B14" s="7" t="s">
        <v>395</v>
      </c>
      <c r="C14" s="7" t="s">
        <v>398</v>
      </c>
      <c r="D14" s="7" t="s">
        <v>399</v>
      </c>
      <c r="E14" s="7" t="s">
        <v>371</v>
      </c>
      <c r="F14" s="7" t="s">
        <v>375</v>
      </c>
      <c r="G14" s="7" t="s">
        <v>44</v>
      </c>
      <c r="H14" s="7" t="s">
        <v>15</v>
      </c>
      <c r="I14" s="7"/>
    </row>
    <row r="15" customFormat="false" ht="23.85" hidden="false" customHeight="false" outlineLevel="0" collapsed="false">
      <c r="A15" s="10" t="n">
        <v>14</v>
      </c>
      <c r="B15" s="10" t="s">
        <v>400</v>
      </c>
      <c r="C15" s="10" t="s">
        <v>401</v>
      </c>
      <c r="D15" s="10" t="s">
        <v>402</v>
      </c>
      <c r="E15" s="10" t="s">
        <v>18</v>
      </c>
      <c r="F15" s="10" t="s">
        <v>366</v>
      </c>
      <c r="G15" s="10" t="s">
        <v>44</v>
      </c>
      <c r="H15" s="10" t="s">
        <v>18</v>
      </c>
      <c r="I15" s="10"/>
    </row>
    <row r="16" customFormat="false" ht="23.85" hidden="false" customHeight="false" outlineLevel="0" collapsed="false">
      <c r="A16" s="7" t="n">
        <v>15</v>
      </c>
      <c r="B16" s="7" t="s">
        <v>400</v>
      </c>
      <c r="C16" s="7" t="s">
        <v>403</v>
      </c>
      <c r="D16" s="7" t="s">
        <v>404</v>
      </c>
      <c r="E16" s="7" t="s">
        <v>18</v>
      </c>
      <c r="F16" s="7" t="s">
        <v>366</v>
      </c>
      <c r="G16" s="7" t="s">
        <v>44</v>
      </c>
      <c r="H16" s="7" t="s">
        <v>18</v>
      </c>
      <c r="I16" s="7"/>
    </row>
    <row r="17" customFormat="false" ht="23.85" hidden="false" customHeight="false" outlineLevel="0" collapsed="false">
      <c r="A17" s="10" t="n">
        <v>16</v>
      </c>
      <c r="B17" s="10" t="s">
        <v>400</v>
      </c>
      <c r="C17" s="10" t="s">
        <v>405</v>
      </c>
      <c r="D17" s="10" t="s">
        <v>406</v>
      </c>
      <c r="E17" s="10" t="s">
        <v>374</v>
      </c>
      <c r="F17" s="10" t="s">
        <v>366</v>
      </c>
      <c r="G17" s="10" t="s">
        <v>44</v>
      </c>
      <c r="H17" s="10" t="s">
        <v>18</v>
      </c>
      <c r="I17" s="10"/>
    </row>
    <row r="18" customFormat="false" ht="23.85" hidden="false" customHeight="false" outlineLevel="0" collapsed="false">
      <c r="A18" s="7" t="n">
        <v>17</v>
      </c>
      <c r="B18" s="7" t="s">
        <v>400</v>
      </c>
      <c r="C18" s="7" t="s">
        <v>407</v>
      </c>
      <c r="D18" s="7" t="s">
        <v>408</v>
      </c>
      <c r="E18" s="7" t="s">
        <v>15</v>
      </c>
      <c r="F18" s="7" t="s">
        <v>366</v>
      </c>
      <c r="G18" s="7" t="s">
        <v>44</v>
      </c>
      <c r="H18" s="7" t="s">
        <v>15</v>
      </c>
      <c r="I18" s="7"/>
    </row>
    <row r="19" customFormat="false" ht="23.85" hidden="false" customHeight="false" outlineLevel="0" collapsed="false">
      <c r="A19" s="10" t="n">
        <v>18</v>
      </c>
      <c r="B19" s="10" t="s">
        <v>400</v>
      </c>
      <c r="C19" s="10" t="s">
        <v>409</v>
      </c>
      <c r="D19" s="10" t="s">
        <v>410</v>
      </c>
      <c r="E19" s="10" t="s">
        <v>18</v>
      </c>
      <c r="F19" s="10" t="s">
        <v>366</v>
      </c>
      <c r="G19" s="10" t="s">
        <v>44</v>
      </c>
      <c r="H19" s="10" t="s">
        <v>15</v>
      </c>
      <c r="I19" s="10"/>
    </row>
    <row r="20" customFormat="false" ht="23.85" hidden="false" customHeight="false" outlineLevel="0" collapsed="false">
      <c r="A20" s="7" t="n">
        <v>19</v>
      </c>
      <c r="B20" s="7" t="s">
        <v>411</v>
      </c>
      <c r="C20" s="7" t="s">
        <v>412</v>
      </c>
      <c r="D20" s="7" t="s">
        <v>413</v>
      </c>
      <c r="E20" s="7" t="s">
        <v>414</v>
      </c>
      <c r="F20" s="7" t="s">
        <v>366</v>
      </c>
      <c r="G20" s="7" t="s">
        <v>44</v>
      </c>
      <c r="H20" s="7" t="s">
        <v>15</v>
      </c>
      <c r="I20" s="7"/>
    </row>
    <row r="21" customFormat="false" ht="23.85" hidden="false" customHeight="false" outlineLevel="0" collapsed="false">
      <c r="A21" s="10" t="n">
        <v>20</v>
      </c>
      <c r="B21" s="10" t="s">
        <v>411</v>
      </c>
      <c r="C21" s="10" t="s">
        <v>415</v>
      </c>
      <c r="D21" s="10" t="s">
        <v>416</v>
      </c>
      <c r="E21" s="10" t="s">
        <v>15</v>
      </c>
      <c r="F21" s="10" t="s">
        <v>366</v>
      </c>
      <c r="G21" s="10" t="s">
        <v>44</v>
      </c>
      <c r="H21" s="10" t="s">
        <v>15</v>
      </c>
      <c r="I21" s="10"/>
    </row>
    <row r="22" customFormat="false" ht="23.85" hidden="false" customHeight="false" outlineLevel="0" collapsed="false">
      <c r="A22" s="7" t="n">
        <v>21</v>
      </c>
      <c r="B22" s="7" t="s">
        <v>411</v>
      </c>
      <c r="C22" s="7" t="s">
        <v>417</v>
      </c>
      <c r="D22" s="7" t="s">
        <v>418</v>
      </c>
      <c r="E22" s="7" t="s">
        <v>24</v>
      </c>
      <c r="F22" s="7" t="s">
        <v>375</v>
      </c>
      <c r="G22" s="7" t="s">
        <v>44</v>
      </c>
      <c r="H22" s="7" t="s">
        <v>24</v>
      </c>
      <c r="I22" s="7"/>
    </row>
    <row r="23" customFormat="false" ht="35.05" hidden="false" customHeight="false" outlineLevel="0" collapsed="false">
      <c r="A23" s="10" t="n">
        <v>22</v>
      </c>
      <c r="B23" s="10" t="s">
        <v>411</v>
      </c>
      <c r="C23" s="10" t="s">
        <v>419</v>
      </c>
      <c r="D23" s="10" t="s">
        <v>420</v>
      </c>
      <c r="E23" s="10" t="s">
        <v>21</v>
      </c>
      <c r="F23" s="10" t="s">
        <v>366</v>
      </c>
      <c r="G23" s="10" t="s">
        <v>44</v>
      </c>
      <c r="H23" s="10" t="s">
        <v>21</v>
      </c>
      <c r="I23" s="10"/>
    </row>
    <row r="24" customFormat="false" ht="23.85" hidden="false" customHeight="false" outlineLevel="0" collapsed="false">
      <c r="A24" s="7" t="n">
        <v>23</v>
      </c>
      <c r="B24" s="7" t="s">
        <v>421</v>
      </c>
      <c r="C24" s="7" t="s">
        <v>422</v>
      </c>
      <c r="D24" s="7" t="s">
        <v>423</v>
      </c>
      <c r="E24" s="7" t="s">
        <v>24</v>
      </c>
      <c r="F24" s="7" t="s">
        <v>366</v>
      </c>
      <c r="G24" s="7" t="s">
        <v>44</v>
      </c>
      <c r="H24" s="7" t="s">
        <v>24</v>
      </c>
      <c r="I24" s="7"/>
    </row>
    <row r="25" customFormat="false" ht="23.85" hidden="false" customHeight="false" outlineLevel="0" collapsed="false">
      <c r="A25" s="10" t="n">
        <v>24</v>
      </c>
      <c r="B25" s="10" t="s">
        <v>421</v>
      </c>
      <c r="C25" s="10" t="s">
        <v>424</v>
      </c>
      <c r="D25" s="10" t="s">
        <v>425</v>
      </c>
      <c r="E25" s="10" t="s">
        <v>24</v>
      </c>
      <c r="F25" s="10" t="s">
        <v>366</v>
      </c>
      <c r="G25" s="10" t="s">
        <v>44</v>
      </c>
      <c r="H25" s="10" t="s">
        <v>24</v>
      </c>
      <c r="I25" s="10"/>
    </row>
    <row r="26" customFormat="false" ht="23.85" hidden="false" customHeight="false" outlineLevel="0" collapsed="false">
      <c r="A26" s="7" t="n">
        <v>25</v>
      </c>
      <c r="B26" s="7" t="s">
        <v>421</v>
      </c>
      <c r="C26" s="7" t="s">
        <v>426</v>
      </c>
      <c r="D26" s="7" t="s">
        <v>427</v>
      </c>
      <c r="E26" s="7" t="s">
        <v>24</v>
      </c>
      <c r="F26" s="7" t="s">
        <v>366</v>
      </c>
      <c r="G26" s="7" t="s">
        <v>44</v>
      </c>
      <c r="H26" s="7" t="s">
        <v>24</v>
      </c>
      <c r="I26" s="7"/>
    </row>
    <row r="27" customFormat="false" ht="23.85" hidden="false" customHeight="false" outlineLevel="0" collapsed="false">
      <c r="A27" s="10" t="n">
        <v>26</v>
      </c>
      <c r="B27" s="10" t="s">
        <v>421</v>
      </c>
      <c r="C27" s="10" t="s">
        <v>428</v>
      </c>
      <c r="D27" s="10" t="s">
        <v>429</v>
      </c>
      <c r="E27" s="10" t="s">
        <v>24</v>
      </c>
      <c r="F27" s="10" t="s">
        <v>375</v>
      </c>
      <c r="G27" s="10" t="s">
        <v>44</v>
      </c>
      <c r="H27" s="10" t="s">
        <v>24</v>
      </c>
      <c r="I27" s="10"/>
    </row>
    <row r="28" customFormat="false" ht="23.85" hidden="false" customHeight="false" outlineLevel="0" collapsed="false">
      <c r="A28" s="7" t="n">
        <v>27</v>
      </c>
      <c r="B28" s="7" t="s">
        <v>430</v>
      </c>
      <c r="C28" s="7" t="s">
        <v>431</v>
      </c>
      <c r="D28" s="7" t="s">
        <v>432</v>
      </c>
      <c r="E28" s="7" t="s">
        <v>15</v>
      </c>
      <c r="F28" s="7" t="s">
        <v>366</v>
      </c>
      <c r="G28" s="7" t="s">
        <v>44</v>
      </c>
      <c r="H28" s="7" t="s">
        <v>15</v>
      </c>
      <c r="I28" s="7"/>
    </row>
    <row r="29" customFormat="false" ht="23.85" hidden="false" customHeight="false" outlineLevel="0" collapsed="false">
      <c r="A29" s="10" t="n">
        <v>28</v>
      </c>
      <c r="B29" s="10" t="s">
        <v>430</v>
      </c>
      <c r="C29" s="10" t="s">
        <v>433</v>
      </c>
      <c r="D29" s="10" t="s">
        <v>434</v>
      </c>
      <c r="E29" s="10" t="s">
        <v>21</v>
      </c>
      <c r="F29" s="10" t="s">
        <v>366</v>
      </c>
      <c r="G29" s="10" t="s">
        <v>44</v>
      </c>
      <c r="H29" s="10" t="s">
        <v>21</v>
      </c>
      <c r="I29" s="10"/>
    </row>
  </sheetData>
  <autoFilter ref="A1:I29"/>
  <conditionalFormatting sqref="F2:F29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5">
      <formula>"Medium"</formula>
    </cfRule>
    <cfRule type="cellIs" priority="4" operator="equal" aboveAverage="0" equalAverage="0" bottom="0" percent="0" rank="0" text="" dxfId="4">
      <formula>"Low"</formula>
    </cfRule>
  </conditionalFormatting>
  <conditionalFormatting sqref="G2:G29">
    <cfRule type="cellIs" priority="5" operator="equal" aboveAverage="0" equalAverage="0" bottom="0" percent="0" rank="0" text="" dxfId="4">
      <formula>"Complete"</formula>
    </cfRule>
    <cfRule type="cellIs" priority="6" operator="equal" aboveAverage="0" equalAverage="0" bottom="0" percent="0" rank="0" text="" dxfId="5">
      <formula>"In Progress"</formula>
    </cfRule>
    <cfRule type="cellIs" priority="7" operator="equal" aboveAverage="0" equalAverage="0" bottom="0" percent="0" rank="0" text="" dxfId="6">
      <formula>"Blocked"</formula>
    </cfRule>
    <cfRule type="cellIs" priority="8" operator="equal" aboveAverage="0" equalAverage="0" bottom="0" percent="0" rank="0" text="" dxfId="7">
      <formula>"Not Started"</formula>
    </cfRule>
  </conditionalFormatting>
  <dataValidations count="3">
    <dataValidation allowBlank="true" errorStyle="stop" operator="between" showDropDown="false" showErrorMessage="false" showInputMessage="false" sqref="F2:F29" type="list">
      <formula1>"High,Medium,Low"</formula1>
      <formula2>0</formula2>
    </dataValidation>
    <dataValidation allowBlank="true" errorStyle="stop" operator="between" showDropDown="false" showErrorMessage="false" showInputMessage="false" sqref="G2:G29" type="list">
      <formula1>"Not Started,In Progress,Blocked,Complete"</formula1>
      <formula2>0</formula2>
    </dataValidation>
    <dataValidation allowBlank="true" errorStyle="stop" operator="between" showDropDown="false" showErrorMessage="false" showInputMessage="false" sqref="H2:H29" type="list">
      <formula1>"Rohan,Shweta,SAP Security SME,Business/Consulting Lead"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26"/>
  </cols>
  <sheetData>
    <row r="1" customFormat="false" ht="26.85" hidden="false" customHeight="false" outlineLevel="0" collapsed="false">
      <c r="A1" s="8" t="s">
        <v>355</v>
      </c>
      <c r="B1" s="8" t="s">
        <v>435</v>
      </c>
      <c r="C1" s="8" t="s">
        <v>436</v>
      </c>
      <c r="D1" s="8" t="s">
        <v>437</v>
      </c>
      <c r="E1" s="8" t="s">
        <v>360</v>
      </c>
      <c r="F1" s="8" t="s">
        <v>438</v>
      </c>
      <c r="G1" s="8" t="s">
        <v>439</v>
      </c>
      <c r="H1" s="8" t="s">
        <v>440</v>
      </c>
    </row>
    <row r="2" customFormat="false" ht="23.85" hidden="false" customHeight="false" outlineLevel="0" collapsed="false">
      <c r="A2" s="7" t="n">
        <v>1</v>
      </c>
      <c r="B2" s="7" t="s">
        <v>441</v>
      </c>
      <c r="C2" s="7" t="s">
        <v>442</v>
      </c>
      <c r="D2" s="7" t="s">
        <v>443</v>
      </c>
      <c r="E2" s="7" t="s">
        <v>366</v>
      </c>
      <c r="F2" s="7" t="s">
        <v>444</v>
      </c>
      <c r="G2" s="7" t="s">
        <v>445</v>
      </c>
      <c r="H2" s="7"/>
    </row>
    <row r="3" customFormat="false" ht="23.85" hidden="false" customHeight="false" outlineLevel="0" collapsed="false">
      <c r="A3" s="10" t="n">
        <v>2</v>
      </c>
      <c r="B3" s="10" t="s">
        <v>441</v>
      </c>
      <c r="C3" s="10" t="s">
        <v>446</v>
      </c>
      <c r="D3" s="10" t="s">
        <v>447</v>
      </c>
      <c r="E3" s="10" t="s">
        <v>366</v>
      </c>
      <c r="F3" s="10" t="s">
        <v>444</v>
      </c>
      <c r="G3" s="10" t="s">
        <v>445</v>
      </c>
      <c r="H3" s="10"/>
    </row>
    <row r="4" customFormat="false" ht="23.85" hidden="false" customHeight="false" outlineLevel="0" collapsed="false">
      <c r="A4" s="7" t="n">
        <v>3</v>
      </c>
      <c r="B4" s="7" t="s">
        <v>441</v>
      </c>
      <c r="C4" s="7" t="s">
        <v>448</v>
      </c>
      <c r="D4" s="7" t="s">
        <v>449</v>
      </c>
      <c r="E4" s="7" t="s">
        <v>366</v>
      </c>
      <c r="F4" s="7" t="s">
        <v>444</v>
      </c>
      <c r="G4" s="7" t="s">
        <v>450</v>
      </c>
      <c r="H4" s="7"/>
    </row>
    <row r="5" customFormat="false" ht="23.85" hidden="false" customHeight="false" outlineLevel="0" collapsed="false">
      <c r="A5" s="10" t="n">
        <v>4</v>
      </c>
      <c r="B5" s="10" t="s">
        <v>441</v>
      </c>
      <c r="C5" s="10" t="s">
        <v>451</v>
      </c>
      <c r="D5" s="10" t="s">
        <v>452</v>
      </c>
      <c r="E5" s="10" t="s">
        <v>366</v>
      </c>
      <c r="F5" s="10" t="s">
        <v>444</v>
      </c>
      <c r="G5" s="10" t="s">
        <v>453</v>
      </c>
      <c r="H5" s="10"/>
    </row>
    <row r="6" customFormat="false" ht="35.05" hidden="false" customHeight="false" outlineLevel="0" collapsed="false">
      <c r="A6" s="7" t="n">
        <v>5</v>
      </c>
      <c r="B6" s="7" t="s">
        <v>454</v>
      </c>
      <c r="C6" s="7" t="s">
        <v>455</v>
      </c>
      <c r="D6" s="7" t="s">
        <v>456</v>
      </c>
      <c r="E6" s="7" t="s">
        <v>366</v>
      </c>
      <c r="F6" s="7" t="s">
        <v>444</v>
      </c>
      <c r="G6" s="7" t="s">
        <v>457</v>
      </c>
      <c r="H6" s="7"/>
    </row>
    <row r="7" customFormat="false" ht="23.85" hidden="false" customHeight="false" outlineLevel="0" collapsed="false">
      <c r="A7" s="10" t="n">
        <v>6</v>
      </c>
      <c r="B7" s="10" t="s">
        <v>454</v>
      </c>
      <c r="C7" s="10" t="s">
        <v>458</v>
      </c>
      <c r="D7" s="10" t="s">
        <v>459</v>
      </c>
      <c r="E7" s="10" t="s">
        <v>375</v>
      </c>
      <c r="F7" s="10" t="s">
        <v>460</v>
      </c>
      <c r="G7" s="10" t="s">
        <v>457</v>
      </c>
      <c r="H7" s="10"/>
    </row>
    <row r="8" customFormat="false" ht="23.85" hidden="false" customHeight="false" outlineLevel="0" collapsed="false">
      <c r="A8" s="7" t="n">
        <v>7</v>
      </c>
      <c r="B8" s="7" t="s">
        <v>454</v>
      </c>
      <c r="C8" s="7" t="s">
        <v>461</v>
      </c>
      <c r="D8" s="7" t="s">
        <v>462</v>
      </c>
      <c r="E8" s="7" t="s">
        <v>366</v>
      </c>
      <c r="F8" s="7" t="s">
        <v>444</v>
      </c>
      <c r="G8" s="7" t="s">
        <v>457</v>
      </c>
      <c r="H8" s="7"/>
    </row>
    <row r="9" customFormat="false" ht="23.85" hidden="false" customHeight="false" outlineLevel="0" collapsed="false">
      <c r="A9" s="10" t="n">
        <v>8</v>
      </c>
      <c r="B9" s="10" t="s">
        <v>454</v>
      </c>
      <c r="C9" s="10" t="s">
        <v>463</v>
      </c>
      <c r="D9" s="10" t="s">
        <v>464</v>
      </c>
      <c r="E9" s="10" t="s">
        <v>375</v>
      </c>
      <c r="F9" s="10" t="s">
        <v>444</v>
      </c>
      <c r="G9" s="10" t="s">
        <v>457</v>
      </c>
      <c r="H9" s="10"/>
    </row>
    <row r="10" customFormat="false" ht="23.85" hidden="false" customHeight="false" outlineLevel="0" collapsed="false">
      <c r="A10" s="7" t="n">
        <v>9</v>
      </c>
      <c r="B10" s="7" t="s">
        <v>465</v>
      </c>
      <c r="C10" s="7" t="s">
        <v>466</v>
      </c>
      <c r="D10" s="7" t="s">
        <v>467</v>
      </c>
      <c r="E10" s="7" t="s">
        <v>375</v>
      </c>
      <c r="F10" s="7" t="s">
        <v>444</v>
      </c>
      <c r="G10" s="7" t="s">
        <v>445</v>
      </c>
      <c r="H10" s="7"/>
    </row>
    <row r="11" customFormat="false" ht="23.85" hidden="false" customHeight="false" outlineLevel="0" collapsed="false">
      <c r="A11" s="10" t="n">
        <v>10</v>
      </c>
      <c r="B11" s="10" t="s">
        <v>465</v>
      </c>
      <c r="C11" s="10" t="s">
        <v>468</v>
      </c>
      <c r="D11" s="10" t="s">
        <v>469</v>
      </c>
      <c r="E11" s="10" t="s">
        <v>375</v>
      </c>
      <c r="F11" s="10" t="s">
        <v>460</v>
      </c>
      <c r="G11" s="10" t="s">
        <v>445</v>
      </c>
      <c r="H11" s="10"/>
    </row>
    <row r="12" customFormat="false" ht="35.05" hidden="false" customHeight="false" outlineLevel="0" collapsed="false">
      <c r="A12" s="7" t="n">
        <v>11</v>
      </c>
      <c r="B12" s="7" t="s">
        <v>470</v>
      </c>
      <c r="C12" s="7" t="s">
        <v>471</v>
      </c>
      <c r="D12" s="7" t="s">
        <v>472</v>
      </c>
      <c r="E12" s="7" t="s">
        <v>366</v>
      </c>
      <c r="F12" s="7" t="s">
        <v>444</v>
      </c>
      <c r="G12" s="7" t="s">
        <v>457</v>
      </c>
      <c r="H12" s="7"/>
    </row>
    <row r="13" customFormat="false" ht="23.85" hidden="false" customHeight="false" outlineLevel="0" collapsed="false">
      <c r="A13" s="10" t="n">
        <v>12</v>
      </c>
      <c r="B13" s="10" t="s">
        <v>470</v>
      </c>
      <c r="C13" s="10" t="s">
        <v>473</v>
      </c>
      <c r="D13" s="10" t="s">
        <v>474</v>
      </c>
      <c r="E13" s="10" t="s">
        <v>375</v>
      </c>
      <c r="F13" s="10" t="s">
        <v>444</v>
      </c>
      <c r="G13" s="10" t="s">
        <v>457</v>
      </c>
      <c r="H13" s="10"/>
    </row>
    <row r="14" customFormat="false" ht="23.85" hidden="false" customHeight="false" outlineLevel="0" collapsed="false">
      <c r="A14" s="7" t="n">
        <v>13</v>
      </c>
      <c r="B14" s="7" t="s">
        <v>475</v>
      </c>
      <c r="C14" s="7" t="s">
        <v>476</v>
      </c>
      <c r="D14" s="7" t="s">
        <v>477</v>
      </c>
      <c r="E14" s="7" t="s">
        <v>366</v>
      </c>
      <c r="F14" s="7" t="s">
        <v>444</v>
      </c>
      <c r="G14" s="7" t="s">
        <v>478</v>
      </c>
      <c r="H14" s="7"/>
    </row>
    <row r="15" customFormat="false" ht="23.85" hidden="false" customHeight="false" outlineLevel="0" collapsed="false">
      <c r="A15" s="10" t="n">
        <v>14</v>
      </c>
      <c r="B15" s="10" t="s">
        <v>475</v>
      </c>
      <c r="C15" s="10" t="s">
        <v>479</v>
      </c>
      <c r="D15" s="10" t="s">
        <v>480</v>
      </c>
      <c r="E15" s="10" t="s">
        <v>375</v>
      </c>
      <c r="F15" s="10" t="s">
        <v>460</v>
      </c>
      <c r="G15" s="10" t="s">
        <v>478</v>
      </c>
      <c r="H15" s="10"/>
    </row>
    <row r="16" customFormat="false" ht="23.85" hidden="false" customHeight="false" outlineLevel="0" collapsed="false">
      <c r="A16" s="7" t="n">
        <v>15</v>
      </c>
      <c r="B16" s="7" t="s">
        <v>481</v>
      </c>
      <c r="C16" s="7" t="s">
        <v>482</v>
      </c>
      <c r="D16" s="7" t="s">
        <v>483</v>
      </c>
      <c r="E16" s="7" t="s">
        <v>366</v>
      </c>
      <c r="F16" s="7" t="s">
        <v>444</v>
      </c>
      <c r="G16" s="7" t="s">
        <v>478</v>
      </c>
      <c r="H16" s="7"/>
    </row>
    <row r="17" customFormat="false" ht="23.85" hidden="false" customHeight="false" outlineLevel="0" collapsed="false">
      <c r="A17" s="10" t="n">
        <v>16</v>
      </c>
      <c r="B17" s="10" t="s">
        <v>481</v>
      </c>
      <c r="C17" s="10" t="s">
        <v>484</v>
      </c>
      <c r="D17" s="10" t="s">
        <v>485</v>
      </c>
      <c r="E17" s="10" t="s">
        <v>366</v>
      </c>
      <c r="F17" s="10" t="s">
        <v>444</v>
      </c>
      <c r="G17" s="10" t="s">
        <v>478</v>
      </c>
      <c r="H17" s="10"/>
    </row>
    <row r="18" customFormat="false" ht="23.85" hidden="false" customHeight="false" outlineLevel="0" collapsed="false">
      <c r="A18" s="7" t="n">
        <v>17</v>
      </c>
      <c r="B18" s="7" t="s">
        <v>481</v>
      </c>
      <c r="C18" s="7" t="s">
        <v>486</v>
      </c>
      <c r="D18" s="7" t="s">
        <v>487</v>
      </c>
      <c r="E18" s="7" t="s">
        <v>375</v>
      </c>
      <c r="F18" s="7" t="s">
        <v>460</v>
      </c>
      <c r="G18" s="7" t="s">
        <v>478</v>
      </c>
      <c r="H18" s="7"/>
    </row>
    <row r="19" customFormat="false" ht="35.05" hidden="false" customHeight="false" outlineLevel="0" collapsed="false">
      <c r="A19" s="10" t="n">
        <v>18</v>
      </c>
      <c r="B19" s="10" t="s">
        <v>488</v>
      </c>
      <c r="C19" s="10" t="s">
        <v>489</v>
      </c>
      <c r="D19" s="10" t="s">
        <v>490</v>
      </c>
      <c r="E19" s="10" t="s">
        <v>366</v>
      </c>
      <c r="F19" s="10" t="s">
        <v>444</v>
      </c>
      <c r="G19" s="10" t="s">
        <v>445</v>
      </c>
      <c r="H19" s="10"/>
    </row>
    <row r="20" customFormat="false" ht="23.85" hidden="false" customHeight="false" outlineLevel="0" collapsed="false">
      <c r="A20" s="7" t="n">
        <v>19</v>
      </c>
      <c r="B20" s="7" t="s">
        <v>491</v>
      </c>
      <c r="C20" s="7" t="s">
        <v>492</v>
      </c>
      <c r="D20" s="7" t="s">
        <v>493</v>
      </c>
      <c r="E20" s="7" t="s">
        <v>366</v>
      </c>
      <c r="F20" s="7" t="s">
        <v>444</v>
      </c>
      <c r="G20" s="7" t="s">
        <v>445</v>
      </c>
      <c r="H20" s="7"/>
    </row>
    <row r="21" customFormat="false" ht="23.85" hidden="false" customHeight="false" outlineLevel="0" collapsed="false">
      <c r="A21" s="10" t="n">
        <v>20</v>
      </c>
      <c r="B21" s="10" t="s">
        <v>494</v>
      </c>
      <c r="C21" s="10" t="s">
        <v>495</v>
      </c>
      <c r="D21" s="10" t="s">
        <v>496</v>
      </c>
      <c r="E21" s="10" t="s">
        <v>375</v>
      </c>
      <c r="F21" s="10" t="s">
        <v>444</v>
      </c>
      <c r="G21" s="10" t="s">
        <v>457</v>
      </c>
      <c r="H21" s="10"/>
    </row>
    <row r="22" customFormat="false" ht="23.85" hidden="false" customHeight="false" outlineLevel="0" collapsed="false">
      <c r="A22" s="7" t="n">
        <v>21</v>
      </c>
      <c r="B22" s="7" t="s">
        <v>494</v>
      </c>
      <c r="C22" s="7" t="s">
        <v>497</v>
      </c>
      <c r="D22" s="7" t="s">
        <v>498</v>
      </c>
      <c r="E22" s="7" t="s">
        <v>375</v>
      </c>
      <c r="F22" s="7" t="s">
        <v>460</v>
      </c>
      <c r="G22" s="7" t="s">
        <v>457</v>
      </c>
      <c r="H22" s="7"/>
    </row>
    <row r="23" customFormat="false" ht="23.85" hidden="false" customHeight="false" outlineLevel="0" collapsed="false">
      <c r="A23" s="10" t="n">
        <v>22</v>
      </c>
      <c r="B23" s="10" t="s">
        <v>499</v>
      </c>
      <c r="C23" s="10" t="s">
        <v>500</v>
      </c>
      <c r="D23" s="10" t="s">
        <v>501</v>
      </c>
      <c r="E23" s="10" t="s">
        <v>375</v>
      </c>
      <c r="F23" s="10" t="s">
        <v>444</v>
      </c>
      <c r="G23" s="10" t="s">
        <v>445</v>
      </c>
      <c r="H23" s="10"/>
    </row>
    <row r="24" customFormat="false" ht="23.85" hidden="false" customHeight="false" outlineLevel="0" collapsed="false">
      <c r="A24" s="7" t="n">
        <v>23</v>
      </c>
      <c r="B24" s="7" t="s">
        <v>502</v>
      </c>
      <c r="C24" s="7" t="s">
        <v>503</v>
      </c>
      <c r="D24" s="7" t="s">
        <v>504</v>
      </c>
      <c r="E24" s="7" t="s">
        <v>375</v>
      </c>
      <c r="F24" s="7" t="s">
        <v>444</v>
      </c>
      <c r="G24" s="7" t="s">
        <v>457</v>
      </c>
      <c r="H24" s="7"/>
    </row>
    <row r="25" customFormat="false" ht="23.85" hidden="false" customHeight="false" outlineLevel="0" collapsed="false">
      <c r="A25" s="10" t="n">
        <v>24</v>
      </c>
      <c r="B25" s="10" t="s">
        <v>502</v>
      </c>
      <c r="C25" s="10" t="s">
        <v>505</v>
      </c>
      <c r="D25" s="10" t="s">
        <v>506</v>
      </c>
      <c r="E25" s="10" t="s">
        <v>375</v>
      </c>
      <c r="F25" s="10" t="s">
        <v>444</v>
      </c>
      <c r="G25" s="10" t="s">
        <v>507</v>
      </c>
      <c r="H25" s="10"/>
    </row>
    <row r="26" customFormat="false" ht="23.85" hidden="false" customHeight="false" outlineLevel="0" collapsed="false">
      <c r="A26" s="7" t="n">
        <v>25</v>
      </c>
      <c r="B26" s="7" t="s">
        <v>508</v>
      </c>
      <c r="C26" s="7" t="s">
        <v>509</v>
      </c>
      <c r="D26" s="7" t="s">
        <v>510</v>
      </c>
      <c r="E26" s="7" t="s">
        <v>375</v>
      </c>
      <c r="F26" s="7" t="s">
        <v>460</v>
      </c>
      <c r="G26" s="7" t="s">
        <v>511</v>
      </c>
      <c r="H26" s="7"/>
    </row>
    <row r="27" customFormat="false" ht="35.05" hidden="false" customHeight="false" outlineLevel="0" collapsed="false">
      <c r="A27" s="10" t="n">
        <v>26</v>
      </c>
      <c r="B27" s="10" t="s">
        <v>512</v>
      </c>
      <c r="C27" s="10" t="s">
        <v>513</v>
      </c>
      <c r="D27" s="10" t="s">
        <v>514</v>
      </c>
      <c r="E27" s="10" t="s">
        <v>366</v>
      </c>
      <c r="F27" s="10" t="s">
        <v>444</v>
      </c>
      <c r="G27" s="10" t="s">
        <v>515</v>
      </c>
      <c r="H27" s="10"/>
    </row>
    <row r="28" customFormat="false" ht="23.85" hidden="false" customHeight="false" outlineLevel="0" collapsed="false">
      <c r="A28" s="7" t="n">
        <v>27</v>
      </c>
      <c r="B28" s="7" t="s">
        <v>512</v>
      </c>
      <c r="C28" s="7" t="s">
        <v>516</v>
      </c>
      <c r="D28" s="7" t="s">
        <v>517</v>
      </c>
      <c r="E28" s="7" t="s">
        <v>366</v>
      </c>
      <c r="F28" s="7" t="s">
        <v>444</v>
      </c>
      <c r="G28" s="7" t="s">
        <v>445</v>
      </c>
      <c r="H28" s="7"/>
    </row>
    <row r="29" customFormat="false" ht="23.85" hidden="false" customHeight="false" outlineLevel="0" collapsed="false">
      <c r="A29" s="10" t="n">
        <v>28</v>
      </c>
      <c r="B29" s="10" t="s">
        <v>518</v>
      </c>
      <c r="C29" s="10" t="s">
        <v>519</v>
      </c>
      <c r="D29" s="10" t="s">
        <v>520</v>
      </c>
      <c r="E29" s="10" t="s">
        <v>375</v>
      </c>
      <c r="F29" s="10" t="s">
        <v>460</v>
      </c>
      <c r="G29" s="10" t="s">
        <v>521</v>
      </c>
      <c r="H29" s="10"/>
    </row>
    <row r="30" customFormat="false" ht="23.85" hidden="false" customHeight="false" outlineLevel="0" collapsed="false">
      <c r="A30" s="7" t="n">
        <v>29</v>
      </c>
      <c r="B30" s="7" t="s">
        <v>518</v>
      </c>
      <c r="C30" s="7" t="s">
        <v>522</v>
      </c>
      <c r="D30" s="7" t="s">
        <v>523</v>
      </c>
      <c r="E30" s="7" t="s">
        <v>375</v>
      </c>
      <c r="F30" s="7" t="s">
        <v>460</v>
      </c>
      <c r="G30" s="7" t="s">
        <v>521</v>
      </c>
      <c r="H30" s="7"/>
    </row>
    <row r="31" customFormat="false" ht="23.85" hidden="false" customHeight="false" outlineLevel="0" collapsed="false">
      <c r="A31" s="10" t="n">
        <v>30</v>
      </c>
      <c r="B31" s="10" t="s">
        <v>524</v>
      </c>
      <c r="C31" s="10" t="s">
        <v>525</v>
      </c>
      <c r="D31" s="10" t="s">
        <v>526</v>
      </c>
      <c r="E31" s="10" t="s">
        <v>366</v>
      </c>
      <c r="F31" s="10" t="s">
        <v>444</v>
      </c>
      <c r="G31" s="10" t="s">
        <v>527</v>
      </c>
      <c r="H31" s="10"/>
    </row>
    <row r="32" customFormat="false" ht="23.85" hidden="false" customHeight="false" outlineLevel="0" collapsed="false">
      <c r="A32" s="7" t="n">
        <v>31</v>
      </c>
      <c r="B32" s="7" t="s">
        <v>524</v>
      </c>
      <c r="C32" s="7" t="s">
        <v>528</v>
      </c>
      <c r="D32" s="7" t="s">
        <v>529</v>
      </c>
      <c r="E32" s="7" t="s">
        <v>375</v>
      </c>
      <c r="F32" s="7" t="s">
        <v>460</v>
      </c>
      <c r="G32" s="7" t="s">
        <v>527</v>
      </c>
      <c r="H32" s="7"/>
    </row>
    <row r="33" customFormat="false" ht="23.85" hidden="false" customHeight="false" outlineLevel="0" collapsed="false">
      <c r="A33" s="10" t="n">
        <v>32</v>
      </c>
      <c r="B33" s="10" t="s">
        <v>530</v>
      </c>
      <c r="C33" s="10" t="s">
        <v>531</v>
      </c>
      <c r="D33" s="10" t="s">
        <v>532</v>
      </c>
      <c r="E33" s="10" t="s">
        <v>366</v>
      </c>
      <c r="F33" s="10" t="s">
        <v>444</v>
      </c>
      <c r="G33" s="10" t="s">
        <v>453</v>
      </c>
      <c r="H33" s="10"/>
    </row>
    <row r="34" customFormat="false" ht="23.85" hidden="false" customHeight="false" outlineLevel="0" collapsed="false">
      <c r="A34" s="7" t="n">
        <v>33</v>
      </c>
      <c r="B34" s="7" t="s">
        <v>530</v>
      </c>
      <c r="C34" s="7" t="s">
        <v>533</v>
      </c>
      <c r="D34" s="7" t="s">
        <v>534</v>
      </c>
      <c r="E34" s="7" t="s">
        <v>535</v>
      </c>
      <c r="F34" s="7" t="s">
        <v>460</v>
      </c>
      <c r="G34" s="7" t="s">
        <v>453</v>
      </c>
      <c r="H34" s="7"/>
    </row>
  </sheetData>
  <autoFilter ref="A1:H34"/>
  <conditionalFormatting sqref="E2:E34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5">
      <formula>"Medium"</formula>
    </cfRule>
    <cfRule type="cellIs" priority="4" operator="equal" aboveAverage="0" equalAverage="0" bottom="0" percent="0" rank="0" text="" dxfId="4">
      <formula>"Low"</formula>
    </cfRule>
  </conditionalFormatting>
  <dataValidations count="2">
    <dataValidation allowBlank="true" errorStyle="stop" operator="between" showDropDown="false" showErrorMessage="false" showInputMessage="false" sqref="E2:E34" type="list">
      <formula1>"High,Medium,Low"</formula1>
      <formula2>0</formula2>
    </dataValidation>
    <dataValidation allowBlank="true" errorStyle="stop" operator="between" showDropDown="false" showErrorMessage="false" showInputMessage="false" sqref="F2:F34" type="list">
      <formula1>"Mandatory,Optional"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6" min="5" style="0" width="14"/>
  </cols>
  <sheetData>
    <row r="2" customFormat="false" ht="19.7" hidden="false" customHeight="false" outlineLevel="0" collapsed="false">
      <c r="B2" s="12" t="s">
        <v>536</v>
      </c>
    </row>
    <row r="3" customFormat="false" ht="15" hidden="false" customHeight="false" outlineLevel="0" collapsed="false">
      <c r="B3" s="13" t="s">
        <v>537</v>
      </c>
    </row>
    <row r="5" customFormat="false" ht="15" hidden="false" customHeight="false" outlineLevel="0" collapsed="false">
      <c r="B5" s="14" t="s">
        <v>538</v>
      </c>
      <c r="C5" s="15"/>
      <c r="D5" s="15"/>
      <c r="E5" s="15"/>
    </row>
    <row r="6" customFormat="false" ht="15" hidden="false" customHeight="false" outlineLevel="0" collapsed="false">
      <c r="B6" s="6" t="s">
        <v>35</v>
      </c>
      <c r="C6" s="6" t="s">
        <v>539</v>
      </c>
      <c r="D6" s="6" t="s">
        <v>540</v>
      </c>
      <c r="E6" s="6" t="s">
        <v>541</v>
      </c>
      <c r="F6" s="6" t="s">
        <v>542</v>
      </c>
    </row>
    <row r="7" customFormat="false" ht="15" hidden="false" customHeight="false" outlineLevel="0" collapsed="false">
      <c r="B7" s="16" t="s">
        <v>15</v>
      </c>
      <c r="C7" s="16" t="n">
        <f aca="false">COUNTIF('Daily Task Tracker'!$G$2:$G$112,B7)</f>
        <v>49</v>
      </c>
      <c r="D7" s="16" t="n">
        <f aca="false">SUMIF('Daily Task Tracker'!$G$2:$G$112,B7,'Daily Task Tracker'!$H$2:$H$112)</f>
        <v>136</v>
      </c>
      <c r="E7" s="16" t="n">
        <f aca="false">COUNTIFS('Daily Task Tracker'!$G$2:$G$112,B7,'Daily Task Tracker'!$I$2:$I$112,"Complete")</f>
        <v>0</v>
      </c>
      <c r="F7" s="17" t="n">
        <f aca="false">IF(C7=0,0,E7/C7)</f>
        <v>0</v>
      </c>
    </row>
    <row r="8" customFormat="false" ht="15" hidden="false" customHeight="false" outlineLevel="0" collapsed="false">
      <c r="B8" s="16" t="s">
        <v>18</v>
      </c>
      <c r="C8" s="16" t="n">
        <f aca="false">COUNTIF('Daily Task Tracker'!$G$2:$G$112,B8)</f>
        <v>40</v>
      </c>
      <c r="D8" s="16" t="n">
        <f aca="false">SUMIF('Daily Task Tracker'!$G$2:$G$112,B8,'Daily Task Tracker'!$H$2:$H$112)</f>
        <v>141</v>
      </c>
      <c r="E8" s="16" t="n">
        <f aca="false">COUNTIFS('Daily Task Tracker'!$G$2:$G$112,B8,'Daily Task Tracker'!$I$2:$I$112,"Complete")</f>
        <v>0</v>
      </c>
      <c r="F8" s="17" t="n">
        <f aca="false">IF(C8=0,0,E8/C8)</f>
        <v>0</v>
      </c>
    </row>
    <row r="9" customFormat="false" ht="15" hidden="false" customHeight="false" outlineLevel="0" collapsed="false">
      <c r="B9" s="16" t="s">
        <v>21</v>
      </c>
      <c r="C9" s="16" t="n">
        <f aca="false">COUNTIF('Daily Task Tracker'!$G$2:$G$112,B9)</f>
        <v>11</v>
      </c>
      <c r="D9" s="16" t="n">
        <f aca="false">SUMIF('Daily Task Tracker'!$G$2:$G$112,B9,'Daily Task Tracker'!$H$2:$H$112)</f>
        <v>27</v>
      </c>
      <c r="E9" s="16" t="n">
        <f aca="false">COUNTIFS('Daily Task Tracker'!$G$2:$G$112,B9,'Daily Task Tracker'!$I$2:$I$112,"Complete")</f>
        <v>0</v>
      </c>
      <c r="F9" s="17" t="n">
        <f aca="false">IF(C9=0,0,E9/C9)</f>
        <v>0</v>
      </c>
    </row>
    <row r="10" customFormat="false" ht="15" hidden="false" customHeight="false" outlineLevel="0" collapsed="false">
      <c r="B10" s="16" t="s">
        <v>24</v>
      </c>
      <c r="C10" s="16" t="n">
        <f aca="false">COUNTIF('Daily Task Tracker'!$G$2:$G$112,B10)</f>
        <v>11</v>
      </c>
      <c r="D10" s="16" t="n">
        <f aca="false">SUMIF('Daily Task Tracker'!$G$2:$G$112,B10,'Daily Task Tracker'!$H$2:$H$112)</f>
        <v>30</v>
      </c>
      <c r="E10" s="16" t="n">
        <f aca="false">COUNTIFS('Daily Task Tracker'!$G$2:$G$112,B10,'Daily Task Tracker'!$I$2:$I$112,"Complete")</f>
        <v>0</v>
      </c>
      <c r="F10" s="17" t="n">
        <f aca="false">IF(C10=0,0,E10/C10)</f>
        <v>0</v>
      </c>
    </row>
    <row r="12" customFormat="false" ht="15" hidden="false" customHeight="false" outlineLevel="0" collapsed="false">
      <c r="B12" s="18" t="s">
        <v>543</v>
      </c>
      <c r="C12" s="18" t="n">
        <f aca="false">SUM(C7:C10)</f>
        <v>111</v>
      </c>
      <c r="D12" s="18" t="n">
        <f aca="false">SUM(D7:D10)</f>
        <v>334</v>
      </c>
      <c r="E12" s="18" t="n">
        <f aca="false">SUM(E7:E10)</f>
        <v>0</v>
      </c>
    </row>
    <row r="15" customFormat="false" ht="15" hidden="false" customHeight="false" outlineLevel="0" collapsed="false">
      <c r="B15" s="14" t="s">
        <v>544</v>
      </c>
      <c r="C15" s="15"/>
      <c r="D15" s="15"/>
      <c r="E15" s="15"/>
    </row>
    <row r="16" customFormat="false" ht="15" hidden="false" customHeight="false" outlineLevel="0" collapsed="false">
      <c r="B16" s="6" t="s">
        <v>32</v>
      </c>
      <c r="C16" s="6" t="s">
        <v>545</v>
      </c>
      <c r="D16" s="6" t="s">
        <v>540</v>
      </c>
      <c r="E16" s="6" t="s">
        <v>541</v>
      </c>
      <c r="F16" s="6" t="s">
        <v>542</v>
      </c>
    </row>
    <row r="17" customFormat="false" ht="15" hidden="false" customHeight="false" outlineLevel="0" collapsed="false">
      <c r="B17" s="16" t="s">
        <v>41</v>
      </c>
      <c r="C17" s="16" t="n">
        <f aca="false">COUNTIF('Daily Task Tracker'!$D$2:$D$112,B17)</f>
        <v>20</v>
      </c>
      <c r="D17" s="16" t="n">
        <f aca="false">SUMIF('Daily Task Tracker'!$D$2:$D$112,B17,'Daily Task Tracker'!$H$2:$H$112)</f>
        <v>44</v>
      </c>
      <c r="E17" s="16" t="n">
        <f aca="false">COUNTIFS('Daily Task Tracker'!$D$2:$D$112,B17,'Daily Task Tracker'!$I$2:$I$112,"Complete")</f>
        <v>0</v>
      </c>
      <c r="F17" s="17" t="n">
        <f aca="false">IF(C17=0,0,E17/C17)</f>
        <v>0</v>
      </c>
    </row>
    <row r="18" customFormat="false" ht="15" hidden="false" customHeight="false" outlineLevel="0" collapsed="false">
      <c r="B18" s="16" t="s">
        <v>102</v>
      </c>
      <c r="C18" s="16" t="n">
        <f aca="false">COUNTIF('Daily Task Tracker'!$D$2:$D$112,B18)</f>
        <v>20</v>
      </c>
      <c r="D18" s="16" t="n">
        <f aca="false">SUMIF('Daily Task Tracker'!$D$2:$D$112,B18,'Daily Task Tracker'!$H$2:$H$112)</f>
        <v>50</v>
      </c>
      <c r="E18" s="16" t="n">
        <f aca="false">COUNTIFS('Daily Task Tracker'!$D$2:$D$112,B18,'Daily Task Tracker'!$I$2:$I$112,"Complete")</f>
        <v>0</v>
      </c>
      <c r="F18" s="17" t="n">
        <f aca="false">IF(C18=0,0,E18/C18)</f>
        <v>0</v>
      </c>
    </row>
    <row r="19" customFormat="false" ht="15" hidden="false" customHeight="false" outlineLevel="0" collapsed="false">
      <c r="B19" s="16" t="s">
        <v>154</v>
      </c>
      <c r="C19" s="16" t="n">
        <f aca="false">COUNTIF('Daily Task Tracker'!$D$2:$D$112,B19)</f>
        <v>22</v>
      </c>
      <c r="D19" s="16" t="n">
        <f aca="false">SUMIF('Daily Task Tracker'!$D$2:$D$112,B19,'Daily Task Tracker'!$H$2:$H$112)</f>
        <v>77</v>
      </c>
      <c r="E19" s="16" t="n">
        <f aca="false">COUNTIFS('Daily Task Tracker'!$D$2:$D$112,B19,'Daily Task Tracker'!$I$2:$I$112,"Complete")</f>
        <v>0</v>
      </c>
      <c r="F19" s="17" t="n">
        <f aca="false">IF(C19=0,0,E19/C19)</f>
        <v>0</v>
      </c>
    </row>
    <row r="20" customFormat="false" ht="15" hidden="false" customHeight="false" outlineLevel="0" collapsed="false">
      <c r="B20" s="16" t="s">
        <v>212</v>
      </c>
      <c r="C20" s="16" t="n">
        <f aca="false">COUNTIF('Daily Task Tracker'!$D$2:$D$112,B20)</f>
        <v>11</v>
      </c>
      <c r="D20" s="16" t="n">
        <f aca="false">SUMIF('Daily Task Tracker'!$D$2:$D$112,B20,'Daily Task Tracker'!$H$2:$H$112)</f>
        <v>40</v>
      </c>
      <c r="E20" s="16" t="n">
        <f aca="false">COUNTIFS('Daily Task Tracker'!$D$2:$D$112,B20,'Daily Task Tracker'!$I$2:$I$112,"Complete")</f>
        <v>0</v>
      </c>
      <c r="F20" s="17" t="n">
        <f aca="false">IF(C20=0,0,E20/C20)</f>
        <v>0</v>
      </c>
    </row>
    <row r="21" customFormat="false" ht="15" hidden="false" customHeight="false" outlineLevel="0" collapsed="false">
      <c r="B21" s="16" t="s">
        <v>245</v>
      </c>
      <c r="C21" s="16" t="n">
        <f aca="false">COUNTIF('Daily Task Tracker'!$D$2:$D$112,B21)</f>
        <v>11</v>
      </c>
      <c r="D21" s="16" t="n">
        <f aca="false">SUMIF('Daily Task Tracker'!$D$2:$D$112,B21,'Daily Task Tracker'!$H$2:$H$112)</f>
        <v>38</v>
      </c>
      <c r="E21" s="16" t="n">
        <f aca="false">COUNTIFS('Daily Task Tracker'!$D$2:$D$112,B21,'Daily Task Tracker'!$I$2:$I$112,"Complete")</f>
        <v>0</v>
      </c>
      <c r="F21" s="17" t="n">
        <f aca="false">IF(C21=0,0,E21/C21)</f>
        <v>0</v>
      </c>
    </row>
    <row r="22" customFormat="false" ht="15" hidden="false" customHeight="false" outlineLevel="0" collapsed="false">
      <c r="B22" s="16" t="s">
        <v>276</v>
      </c>
      <c r="C22" s="16" t="n">
        <f aca="false">COUNTIF('Daily Task Tracker'!$D$2:$D$112,B22)</f>
        <v>10</v>
      </c>
      <c r="D22" s="16" t="n">
        <f aca="false">SUMIF('Daily Task Tracker'!$D$2:$D$112,B22,'Daily Task Tracker'!$H$2:$H$112)</f>
        <v>34</v>
      </c>
      <c r="E22" s="16" t="n">
        <f aca="false">COUNTIFS('Daily Task Tracker'!$D$2:$D$112,B22,'Daily Task Tracker'!$I$2:$I$112,"Complete")</f>
        <v>0</v>
      </c>
      <c r="F22" s="17" t="n">
        <f aca="false">IF(C22=0,0,E22/C22)</f>
        <v>0</v>
      </c>
    </row>
    <row r="23" customFormat="false" ht="15" hidden="false" customHeight="false" outlineLevel="0" collapsed="false">
      <c r="B23" s="16" t="s">
        <v>306</v>
      </c>
      <c r="C23" s="16" t="n">
        <f aca="false">COUNTIF('Daily Task Tracker'!$D$2:$D$112,B23)</f>
        <v>11</v>
      </c>
      <c r="D23" s="16" t="n">
        <f aca="false">SUMIF('Daily Task Tracker'!$D$2:$D$112,B23,'Daily Task Tracker'!$H$2:$H$112)</f>
        <v>32</v>
      </c>
      <c r="E23" s="16" t="n">
        <f aca="false">COUNTIFS('Daily Task Tracker'!$D$2:$D$112,B23,'Daily Task Tracker'!$I$2:$I$112,"Complete")</f>
        <v>0</v>
      </c>
      <c r="F23" s="17" t="n">
        <f aca="false">IF(C23=0,0,E23/C23)</f>
        <v>0</v>
      </c>
    </row>
    <row r="24" customFormat="false" ht="15" hidden="false" customHeight="false" outlineLevel="0" collapsed="false">
      <c r="B24" s="16" t="s">
        <v>336</v>
      </c>
      <c r="C24" s="16" t="n">
        <f aca="false">COUNTIF('Daily Task Tracker'!$D$2:$D$112,B24)</f>
        <v>6</v>
      </c>
      <c r="D24" s="16" t="n">
        <f aca="false">SUMIF('Daily Task Tracker'!$D$2:$D$112,B24,'Daily Task Tracker'!$H$2:$H$112)</f>
        <v>19</v>
      </c>
      <c r="E24" s="16" t="n">
        <f aca="false">COUNTIFS('Daily Task Tracker'!$D$2:$D$112,B24,'Daily Task Tracker'!$I$2:$I$112,"Complete")</f>
        <v>0</v>
      </c>
      <c r="F24" s="17" t="n">
        <f aca="false">IF(C24=0,0,E24/C24)</f>
        <v>0</v>
      </c>
    </row>
    <row r="27" customFormat="false" ht="15" hidden="false" customHeight="false" outlineLevel="0" collapsed="false">
      <c r="B27" s="14" t="s">
        <v>546</v>
      </c>
      <c r="C27" s="15"/>
      <c r="D27" s="15"/>
      <c r="E27" s="15"/>
    </row>
    <row r="28" customFormat="false" ht="15" hidden="false" customHeight="false" outlineLevel="0" collapsed="false">
      <c r="B28" s="6" t="s">
        <v>547</v>
      </c>
      <c r="C28" s="6" t="s">
        <v>548</v>
      </c>
      <c r="D28" s="6" t="s">
        <v>549</v>
      </c>
      <c r="E28" s="6" t="s">
        <v>542</v>
      </c>
    </row>
    <row r="29" customFormat="false" ht="15" hidden="false" customHeight="false" outlineLevel="0" collapsed="false">
      <c r="B29" s="16" t="s">
        <v>550</v>
      </c>
      <c r="C29" s="16" t="n">
        <f aca="false">COUNTA('Daily Task Tracker'!$A$2:$A$112)</f>
        <v>111</v>
      </c>
      <c r="D29" s="16" t="n">
        <f aca="false">COUNTIF('Daily Task Tracker'!$I$2:$I$112,"Complete")</f>
        <v>0</v>
      </c>
      <c r="E29" s="17" t="n">
        <f aca="false">IF(C29=0,0,D29/C29)</f>
        <v>0</v>
      </c>
    </row>
    <row r="30" customFormat="false" ht="15" hidden="false" customHeight="false" outlineLevel="0" collapsed="false">
      <c r="B30" s="16" t="s">
        <v>551</v>
      </c>
      <c r="C30" s="16" t="n">
        <f aca="false">COUNTA('Prerequisite Checklist'!$A$2:$A$29)</f>
        <v>28</v>
      </c>
      <c r="D30" s="16" t="n">
        <f aca="false">COUNTIF('Prerequisite Checklist'!$G$2:$G$29,"Complete")</f>
        <v>0</v>
      </c>
      <c r="E30" s="17" t="n">
        <f aca="false">IF(C30=0,0,D30/C30)</f>
        <v>0</v>
      </c>
    </row>
    <row r="31" customFormat="false" ht="15" hidden="false" customHeight="false" outlineLevel="0" collapsed="false">
      <c r="B31" s="16" t="s">
        <v>552</v>
      </c>
      <c r="C31" s="16" t="n">
        <f aca="false">COUNTA('SME Questionnaire'!$A$2:$A$34)</f>
        <v>33</v>
      </c>
      <c r="D31" s="16" t="n">
        <f aca="false">COUNTIF('SME Questionnaire'!$H$2:$H$34,"?*")</f>
        <v>0</v>
      </c>
      <c r="E31" s="17" t="n">
        <f aca="false">IF(C31=0,0,D31/C31)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2026-07-09T21:53:28Z</dcterms:created>
  <dc:creator>openpyxl</dc:creator>
  <dc:description/>
  <dc:language>en-US</dc:language>
  <cp:lastModifiedBy/>
  <dcterms:modified xsi:type="dcterms:W3CDTF">2026-07-09T21:53:28Z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